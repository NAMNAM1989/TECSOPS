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38620" windowHeight="21100"/>
  </bookViews>
  <sheets>
    <sheet sheetId="1" name="DATA" state="visible" r:id="rId4"/>
  </sheets>
  <definedNames>
    <definedName name="_xlnm._FilterDatabase">DATA!$A$1:$J$1</definedName>
  </definedNames>
  <calcPr calcId="171027"/>
</workbook>
</file>

<file path=xl/sharedStrings.xml><?xml version="1.0" encoding="utf-8"?>
<sst xmlns="http://schemas.openxmlformats.org/spreadsheetml/2006/main" count="907" uniqueCount="355">
  <si>
    <t>LOẠI</t>
  </si>
  <si>
    <t>Depcription of goods</t>
  </si>
  <si>
    <t>HS CODE</t>
  </si>
  <si>
    <t>Origin</t>
  </si>
  <si>
    <t xml:space="preserve">Quantity </t>
  </si>
  <si>
    <t>Unit</t>
  </si>
  <si>
    <t>U.Price (FCA)</t>
  </si>
  <si>
    <t>Amount</t>
  </si>
  <si>
    <t>Quy cách</t>
  </si>
  <si>
    <t>Trọng lượng</t>
  </si>
  <si>
    <t>BÁNH</t>
  </si>
  <si>
    <t>BÁNH AFC. NSX: T03/2026, HSD T03/2027, Xuất xứ VN, Hàng mới 100%</t>
  </si>
  <si>
    <t>19059090</t>
  </si>
  <si>
    <t>VN</t>
  </si>
  <si>
    <t>BAG</t>
  </si>
  <si>
    <t>Bánh bột lọc không nhãn hiệu, NSX: T03/2026, HSD: T06/2026, Xuất xứ VN, Hàng mới 100%</t>
  </si>
  <si>
    <t>BÁNH CHOCOPIE. NSX: T03/2026, HSD T03/2027, Xuất xứ VN, Hàng mới 100%</t>
  </si>
  <si>
    <t>19053120</t>
  </si>
  <si>
    <t>BÁNH COSY. NSX: T03/2026, HSD T03/2027, Xuất xứ VN, Hàng mới 100%</t>
  </si>
  <si>
    <t>BÁNH ĐA CUA HẢI PHÒNG. NSX: T03/2026, HSD T03/2027, Xuất xứ VN, Hàng mới 100%</t>
  </si>
  <si>
    <t>19059070</t>
  </si>
  <si>
    <t>BÁNH ĐẬU XANH HÒA AN. NSX: T03/2026, HSD T03/2027, Xuất xứ VN, Hàng mới 100%</t>
  </si>
  <si>
    <t>BÁNH DỪA NƯỚNG DUY ĐẠT. NSX: T03/2026, HSD T03/2027, Xuất xứ VN, Hàng mới 100%</t>
  </si>
  <si>
    <t>BÁNH GẠO AN AN. NSX: T03/2026, HSD T03/2027, Xuất xứ VN, Hàng mới 100%</t>
  </si>
  <si>
    <t>BÁNH GẠO NƯỚNG AN. NSX: T03/2026, HSD T03/2027, Xuất xứ VN, Hàng mới 100%</t>
  </si>
  <si>
    <t>BÁNH NABATI. NSX: T03/2026, HSD T03/2027, Xuất xứ VN, Hàng mới 100%</t>
  </si>
  <si>
    <t>BÁNH PHỒNG SỮA HIỆU NHƠN HOÀNG. NSX: T03/2026, HSD T03/2027, Xuất xứ VN, Hàng mới 100%</t>
  </si>
  <si>
    <t>BÁNH PHỒNG TÔM NGUYÊN TRÂN. NSX: T03/2026, HSD T03/2027, Xuất xứ VN, Hàng mới 100%</t>
  </si>
  <si>
    <t>BÁNH PÍA TÂN HUỆ VIÊN. NSX: T03/2026, HSD: T05/2026, Xuất xứ VN, Hàng mới 100%</t>
  </si>
  <si>
    <t>BÁNH SẦU RIÊNG PHÚ SĨ. NSX: T03/2026, HSD: T03/2027, Xuất xứ VN, Hàng mới 100%</t>
  </si>
  <si>
    <t>BÁNH TRÁNG BÒ BÍA KHÁNH HỘI. NSX: T03/2026, HSD T03/2027, Xuất xứ VN, Hàng mới 100%</t>
  </si>
  <si>
    <t>BÁNH TRÁNG CHÚ VIÊN. NSX: T03/2026, HSD T03/2027, Xuất xứ VN, Hàng mới 100%</t>
  </si>
  <si>
    <t>BÁNH TRÁNG ĐAI ĐIÊU. NSX: T03/2026, HSD: T03/2027, Xuất xứ VN, Hàng mới 100%</t>
  </si>
  <si>
    <t>BÁNH TRÁNG DUNG Ý. NSX: T03/2026, HSD T03/2027, Xuất xứ VN, Hàng mới 100%</t>
  </si>
  <si>
    <t>BÁNH TRÁNG MUỐI CAY SAFOCO. NSX: T03/2026, HSD: T03/2027, Xuất xứ VN, Hàng mới 100%</t>
  </si>
  <si>
    <t>BÁNH TRÁNG MUỐI CAY TÂY NINH. NSX: T03/2026, HSD T03/2027, Xuất xứ VN, Hàng mới 100%</t>
  </si>
  <si>
    <t>BÁNH TRÁNG PHƠI SƯƠNG NGỌC TRINH. NSX: T03/2026, HSD T03/2027, Xuất xứ VN, Hàng mới 100%</t>
  </si>
  <si>
    <t>BÁNH TRÁNG SẦU RIÊNG CÔ BA. NSX: T03/2026, HSD T03/2027, Xuất xứ VN, Hàng mới 100%</t>
  </si>
  <si>
    <t>BÁNH TRÁNG TÂN NHIÊN. NSX: T03/2026, HSD T03/2027, Xuất xứ VN, Hàng mới 100%</t>
  </si>
  <si>
    <t>BÁNH TRÁNG TÂY NINH. NSX: T03/2026, HSD T03/2027, Xuất xứ VN, Hàng mới 100%</t>
  </si>
  <si>
    <t>BÁT</t>
  </si>
  <si>
    <t>BỘ BÁT BẰNG SỨ MINH LONG. Xuất xứ VN, Hàng mới 100%</t>
  </si>
  <si>
    <t>69111000</t>
  </si>
  <si>
    <t>SET</t>
  </si>
  <si>
    <t>BÌNH GIỮ NHIỆT</t>
  </si>
  <si>
    <t xml:space="preserve">BÌNH GIỮ NHIỆT BẰNG INOX, DUNG TÍCH 700ML KHÔNG NHÃN HIỆU, XUẤT XỨ VN. HÀNG MỚI 100% </t>
  </si>
  <si>
    <t>96170010</t>
  </si>
  <si>
    <t>PCE</t>
  </si>
  <si>
    <t>BÌNH SỮA</t>
  </si>
  <si>
    <t>BÌNH SỮA EM BÉ BẰNG NHỰA 500ML KHÔNG NHÃN HIỆU . Xuất xứ VN, Hàng mới 100%</t>
  </si>
  <si>
    <t xml:space="preserve">39241099 </t>
  </si>
  <si>
    <t>BỘT BÁNH XÈO</t>
  </si>
  <si>
    <t>Bột bánh xèo Hương Xưa, NSX: T03/2026, HSD T03/2027, Xuất xứ VN, Hàng mới 100%</t>
  </si>
  <si>
    <t>11029090</t>
  </si>
  <si>
    <t>BỘT CHIÊN GIÒN</t>
  </si>
  <si>
    <t>BỘT CHIÊN GIÒN TÀI KÝ . NSX: T03/2026, HSD T03/2027, Xuất xứ VN, Hàng mới 100%</t>
  </si>
  <si>
    <t>19019099</t>
  </si>
  <si>
    <t>BỘT NGŨ CỐC</t>
  </si>
  <si>
    <t>Bột ngũ cốc dinh dưỡng B'fast. NSX: T03/2026, HSD T03/2027, Xuất xứ VN, Hàng mới 100%</t>
  </si>
  <si>
    <t>BÚN</t>
  </si>
  <si>
    <t>BÚN GẠO KHÔ SELECT. NSX: T03/2026, HSD T03/2027, Xuất xứ VN, Hàng mới 100%</t>
  </si>
  <si>
    <t>19023020</t>
  </si>
  <si>
    <t>BÚN GẠO LỨT DONAV. NSX: T03/2026, HSD T03/2027, Xuất xứ VN, Hàng mới 100%</t>
  </si>
  <si>
    <t>BÚN KHÔ BÀ BẢY. NSX: T03/2026, HSD: T03/2027, Xuất xứ VN, Hàng mới 100%</t>
  </si>
  <si>
    <t>CÁ</t>
  </si>
  <si>
    <t>CÁ KHÔ CÀ MAU . NSX: T03/2026, HSD T03/2027, Xuất xứ VN, Hàng mới 100%</t>
  </si>
  <si>
    <t>03053999</t>
  </si>
  <si>
    <t>CÁ KHÔ DANANG FRESH SEAFOOD .NSX: T03/2026, HSD T03/2027, Xuất xứ VN, Hàng mới 100%</t>
  </si>
  <si>
    <t>KHÔ CÁ BÀ BẢY . NSX: T03/2026, HSD T03/2027, Xuất xứ VN, Hàng mới 100%</t>
  </si>
  <si>
    <t>KHÔ CÁ MINH TRIẾT . NSX: T03/2026, HSD T03/2027, Xuất xứ VN, Hàng mới 100%</t>
  </si>
  <si>
    <t>KHÔ CÁ NHA TRANG . NSX: T03/2026, HSD T03/2027, Xuất xứ VN, Hàng mới 100%</t>
  </si>
  <si>
    <t>KHÔ CÁ TIỀN PHƯƠNG . NSX: T03/2026, HSD T03/2027, Xuất xứ VN, Hàng mới 100%</t>
  </si>
  <si>
    <t>CÀ PHÊ</t>
  </si>
  <si>
    <t>CÀ PHÊ G7 . NSX: T03/2026, HSD T03/2027, Xuất xứ VN, Hàng mới 100%</t>
  </si>
  <si>
    <t>21011119</t>
  </si>
  <si>
    <t>CÀ PHÊ HẠT RANG XAY HƯƠNG VIỆT  . NSX: T03/2026, HSD: T03/2027, Xuất xứ VN, Hàng mới 100%</t>
  </si>
  <si>
    <t>CÀ PHÊ HÒA TAN 247 . NSX: T03/2026, HSD T03/2027, Xuất xứ VN, Hàng mới 100%</t>
  </si>
  <si>
    <t>CÀ PHÊ NESCAFE  . NSX: T03/2026, HSD: T03/2027, Xuất xứ VN, Hàng mới 100%</t>
  </si>
  <si>
    <t>CÀ PHÊ PHỐ . NSX: T03/2026, HSD T03/2027, Xuất xứ VN, Hàng mới 100%</t>
  </si>
  <si>
    <t>CÀ PHÊ TRUNG NGUYÊN. NSX: T03/2026, HSD T03/2027, Xuất xứ VN, Hàng mới 100%</t>
  </si>
  <si>
    <t>CƠM CHÁY</t>
  </si>
  <si>
    <t>CƠM CHÁY CHÀ BÔNG CÔ BA SÀI GÒN. NSX: T03/2026, HSD T03/2027, Xuất xứ VN, Hàng mới 100%</t>
  </si>
  <si>
    <t>19049010</t>
  </si>
  <si>
    <t>CƠM CHÁY HÀ THÚY. NSX: T03/2026, HSD T03/2027, Xuất xứ VN, Hàng mới 100%</t>
  </si>
  <si>
    <t>CƠM CHÁY MẮM HÀNH CÔ NGỌC. NSX: T03/2026, HSD T03/2027, Xuất xứ VN, Hàng mới 100%</t>
  </si>
  <si>
    <t>CƠM CHÁY MẮM HÀNH CÔ XUYẾN. NSX: T03/2026, HSD T03/2027, Xuất xứ VN, Hàng mới 100%</t>
  </si>
  <si>
    <t>CƠM CHÁY MẮM HÀNH ĐẠI LONG. NSX: T03/2026, HSD T03/2027, Xuất xứ VN, Hàng mới 100%</t>
  </si>
  <si>
    <t>CƠM CHÁY MẮM HÀNH QUỐC VINH. NSX: T03/2026, HSD T03/2027, Xuất xứ VN, Hàng mới 100%</t>
  </si>
  <si>
    <t>CƠM CHÁY MINH CHÂU. NSX: T03/2026, HSD T03/2027, Xuất xứ VN, Hàng mới 100%</t>
  </si>
  <si>
    <t>CƠM CHÁY NHẬT QUỲNH. NSX: T03/2026, HSD T03/2027, Xuất xứ VN, Hàng mới 100%</t>
  </si>
  <si>
    <t>CƠM CHÁY SÀI GÒN. NSX: T11/2025, HSD T11/2026 Xuất xứ VN, Hàng mới 100%</t>
  </si>
  <si>
    <t>ĐẬU PHỘNG</t>
  </si>
  <si>
    <t>ĐẬU PHỘNG DA CÁ TÂN TÂN. NSX: T03/2026, HSD T03/2027, Xuất xứ VN, Hàng mới 100%</t>
  </si>
  <si>
    <t>20081110</t>
  </si>
  <si>
    <t>UNK</t>
  </si>
  <si>
    <t>ĐẬU PHỘNG QUẢNG ĐÀ VICHOU. NSX: T03/2026, HSD T03/2027, Xuất xứ VN, Hàng mới 100%</t>
  </si>
  <si>
    <t>ĐẬU PHỘNG RANG ĂN VẶT THÙY LINH. NSX: T03/2026, HSD T03/2027, Xuất xứ VN, Hàng mới 100%</t>
  </si>
  <si>
    <t>DÉP</t>
  </si>
  <si>
    <t>DÉP NHỰA BITIS. Xuất xứ VN, Hàng mới 100%</t>
  </si>
  <si>
    <t>64041190</t>
  </si>
  <si>
    <t>PR</t>
  </si>
  <si>
    <t>DÉP NHỰA HIỆU NATIVE. Xuất xứ VN, Hàng mới 100%</t>
  </si>
  <si>
    <t>ĐỒ CHƠI</t>
  </si>
  <si>
    <t>ĐỒ CHƠI LẮP GHÉP BẰNG NHỰA, KHÔNG NHÃN HIỆU XUẤT XỨ VN. HÀNG MỚI 100%</t>
  </si>
  <si>
    <t>95030091</t>
  </si>
  <si>
    <t>QUẢ BÓNG ĐỒ CHƠI CHO THÚ CƯNG BẰNG NHỰA KHÔNG NHÃN HIỆU XUẤT XỨ VIỆT NAM, HÀNG MỚI 100%</t>
  </si>
  <si>
    <t xml:space="preserve">95030091 </t>
  </si>
  <si>
    <t>UNQ</t>
  </si>
  <si>
    <t>ĐỒ TRANG TRÍ</t>
  </si>
  <si>
    <t>ĐỒ TRANG TRÍ  BẰNG NHỰA KHÔNG NHÃN HIỆU. Xuất xứ VN, Hàng mới 100%</t>
  </si>
  <si>
    <t>39264000</t>
  </si>
  <si>
    <t>GA GỐI</t>
  </si>
  <si>
    <t>BỘ GA GỐI HIỆU SÔNG HỒNG. Xuất xứ VN, Hàng mới 100%</t>
  </si>
  <si>
    <t>63022900</t>
  </si>
  <si>
    <t>GĂNG TAY</t>
  </si>
  <si>
    <t>Găng tay vải chất liệu cotton không nhãn hiệu,Xuất xứ VN, Hàng mới 100%</t>
  </si>
  <si>
    <t>61169200</t>
  </si>
  <si>
    <t>GHẾ</t>
  </si>
  <si>
    <t>GHẾ NHỰA VUÔNG DUY TÂN, KÍCH THƯỚC 28.8 x 28.8 x 25.6cm. Xuất xứ VN, Hàng mới 100%</t>
  </si>
  <si>
    <t>94018000</t>
  </si>
  <si>
    <t>GIA VỊ</t>
  </si>
  <si>
    <t>GIA VỊ LẨU THÁI AJI QUICK. NSX: T03/2026, HSD T03/2027, Xuất xứ VN, Hàng mới 100%</t>
  </si>
  <si>
    <t>21039029</t>
  </si>
  <si>
    <t>GIA VỊ NẤU ĂN FOCO FOOD. NSX: T03/2026, HSD: T03/2027, Xuất xứ VN, Hàng mới 100%</t>
  </si>
  <si>
    <t>GIA VỊ NẤU ĂN KNORR. NSX: T03/2026, HSD T03/2027, Xuất xứ VN, Hàng mới 100%</t>
  </si>
  <si>
    <t>GIÀY</t>
  </si>
  <si>
    <t>GIÀY THỂ THAO BITIS. Xuất xứ VN, Hàng mới 100%</t>
  </si>
  <si>
    <t>HÀNH PHI</t>
  </si>
  <si>
    <t>HÀNH PHI HẢI DƯƠNG. NSX: T03/2026, HSD T03/2027, Xuất xứ VN, Hàng mới 100%</t>
  </si>
  <si>
    <t>07122000</t>
  </si>
  <si>
    <t>HÀNH PHI MINH HÀ. NSX: T03/2026, HSD T03/2027, Xuất xứ VN, Hàng mới 100%</t>
  </si>
  <si>
    <t>HÀNH PHI NGUYÊN BẢO. NSX: T03/2026, HSD: T03/2027, Xuất xứ VN, Hàng mới 100%</t>
  </si>
  <si>
    <t>HẠT ĐÁC</t>
  </si>
  <si>
    <t>HẠT ĐÁC SẤY KHÔ HOÀNG KHÔI FOOD. NSX: T03/2026, HSD T03/2027, Xuất xứ VN, Hàng mới 100%</t>
  </si>
  <si>
    <t>08134090</t>
  </si>
  <si>
    <t>HẠT ĐIỀU</t>
  </si>
  <si>
    <t>HẠT ĐIỀU RANG MUỐI BÀ TƯ BÌNH PHƯỚC. NSX: T03/2026, HSD T03/2027, Xuất xứ VN, Hàng mới 100%</t>
  </si>
  <si>
    <t>20081910</t>
  </si>
  <si>
    <t>HẠT ĐIỀU VINANUTS. NSX: T03/2026, HSD T03/2027, Xuất xứ VN, Hàng mới 100%</t>
  </si>
  <si>
    <t>HẠT HƯỚNG DƯƠNG</t>
  </si>
  <si>
    <t>HẠT HƯỚNG DƯƠNG HƯƠNG VIỆT. NSX: T03/2026, HSD T03/2027, Xuất xứ VN, Hàng mới 100%</t>
  </si>
  <si>
    <t>12060000</t>
  </si>
  <si>
    <t>HẠT HƯỚNG DƯƠNG THÁI SƠN. NSX: T03/2026, HSD T03/2027, Xuất xứ VN, Hàng mới 100%</t>
  </si>
  <si>
    <t>HEO</t>
  </si>
  <si>
    <t xml:space="preserve">Heo sữa đông lạnh không nhãn hiệu, NSX: T3/2026, HSD: T6/2026, xuất xứ Việt Nam, hàng mới 100% </t>
  </si>
  <si>
    <t>02032100</t>
  </si>
  <si>
    <t>UNC</t>
  </si>
  <si>
    <t>HỘP ĐỰNG</t>
  </si>
  <si>
    <t>HỘP ĐỰNG BẰNG GIẤY KHÔNG SÓNG KÍCH THƯỚC 77 x 70 x 13CM, KHÔNG NHÃN HIỆU. Xuất xứ VN, Hàng mới 100%</t>
  </si>
  <si>
    <t>48192000</t>
  </si>
  <si>
    <t>HỘP ĐỰNG THỨC ĂN BẰNG NHỰA INOCHI, KÍCH THƯỚC 30x20CM. Xuất xứ VN, Hàng mới 100%</t>
  </si>
  <si>
    <t>39241099</t>
  </si>
  <si>
    <t>HỘP NHỰA DUY TÂN THỂ TÍCH 500ML, Xuất xứ VN, Hàng mới 100%</t>
  </si>
  <si>
    <t>39231090</t>
  </si>
  <si>
    <t>HỘP NHỰA INOCHI THỂ TÍCH 500ML, Xuất xứ VN, Hàng mới 100%</t>
  </si>
  <si>
    <t>KẸO</t>
  </si>
  <si>
    <t>KẸO DẺO HỖN HỢP TOP FRUIT. NSX: T03/2026, HSD T03/2027, Xuất xứ VN, Hàng mới 100%</t>
  </si>
  <si>
    <t>17049091</t>
  </si>
  <si>
    <t>KẸO DỪA THANH BÌNH. NSX: T03/2026, HSD: T03/2027, Xuất xứ VN, Hàng mới 100%</t>
  </si>
  <si>
    <t>Kẹo trái cây hiệu Đại Long. NSX: T03/2026, HSD T03/2027, Xuất xứ VN, Hàng mới 100%</t>
  </si>
  <si>
    <t>17049099</t>
  </si>
  <si>
    <t>KHĂN TẮM</t>
  </si>
  <si>
    <t>KHĂN TẮM CHẤT LIỆU COTTON KHÔNG NHÃN HIỆU XUẤT XỨ VN. HÀNG MỚI 100%</t>
  </si>
  <si>
    <t>63029990</t>
  </si>
  <si>
    <t>KHAY ĐỰNG</t>
  </si>
  <si>
    <t>KHAY ĐỰNG THỨC ĂN LÀM BẰNG INOX, KÍCH THƯỚC: 29X37CM,KHÔNG NHÃN HIỆU, XUẤT XỨ VN. HÀNG MỚI 100%</t>
  </si>
  <si>
    <t>73239310</t>
  </si>
  <si>
    <t>KHÔ GÀ</t>
  </si>
  <si>
    <t>KHÔ GÀ LÁ CHANH NUT'S FARM. NSX: T03/2026, HSD T03/2027, Xuất xứ VN, Hàng mới 100%</t>
  </si>
  <si>
    <t>02109990</t>
  </si>
  <si>
    <t>KHOAI LANG SẤY</t>
  </si>
  <si>
    <t>KHOAI LANG SẤY DẺO MAI HOA. NSX: T03/2026, HSD T03/2027, Xuất xứ VN, Hàng mới 100%</t>
  </si>
  <si>
    <t>07142090</t>
  </si>
  <si>
    <t>KHOAI LANG SẤY DẺO QUẢNG BÌNH. NSX: T03/2026, HSD: T03/2027, Xuất xứ VN, Hàng mới 100%</t>
  </si>
  <si>
    <t>KHOAI SẤY DẺO VIETTIN MART. NSX: T03/2026, HSD T03/2027, Xuất xứ VN, Hàng mới 100%</t>
  </si>
  <si>
    <t xml:space="preserve">Khung giường </t>
  </si>
  <si>
    <t>Khung giường bằng inox có thể xếp gọn được, kích thước dài 2m, rộng 1.6m, không nhãn hiệu, , Xuất xứ VN, Hàng mới 100%</t>
  </si>
  <si>
    <t>94032090</t>
  </si>
  <si>
    <t xml:space="preserve">KIỀM CẮT MÓNG </t>
  </si>
  <si>
    <t>KIỀM CẮT MÓNG NGHĨA CHẤT LIỆU THÉP KHÔNG GỈ. Xuất xứ VN, Hàng mới 100%</t>
  </si>
  <si>
    <t>82142000</t>
  </si>
  <si>
    <t xml:space="preserve">LƯƠNG KHÔ </t>
  </si>
  <si>
    <t>LƯƠNG KHÔ HẢI CHÂU, NSX: T03/2026, HSD: T03/2027, Xuất xứ VN, Hàng mới 100%</t>
  </si>
  <si>
    <t>Ly nhựa</t>
  </si>
  <si>
    <t>Ly nhựa, không nhãn hiệu, Xuất xứ VN, Hàng mới 100%</t>
  </si>
  <si>
    <t>MÀNG CO</t>
  </si>
  <si>
    <t>MÀNG CO DÙNG ĐỂ QUẤN HÀNG, CHẤT LIỆU NHỰA PE DÀI 50CM KHÔNG NHÃN HIỆU. Xuất xứ VN, Hàng mới 100%</t>
  </si>
  <si>
    <t>39201090</t>
  </si>
  <si>
    <t>ROL</t>
  </si>
  <si>
    <t>MĂNG KHÔ</t>
  </si>
  <si>
    <t>MĂNG KHÔ KIÊN THÀNH, NSX: T03/2026, HSD: T03/2027, Xuất xứ VN, Hàng mới 100%</t>
  </si>
  <si>
    <t>07129090</t>
  </si>
  <si>
    <t>MĂNG KHÔ KIM BÔI. NSX: T03/2026, HSD T03/2027, Xuất xứ VN, Hàng mới 100%</t>
  </si>
  <si>
    <t>MÌ GÓI</t>
  </si>
  <si>
    <t>MÌ LẨU THÁI ACECOOK, NSX: T03/2026, HSD: T03/2027, Xuất xứ VN, Hàng mới 100%</t>
  </si>
  <si>
    <t>19023040</t>
  </si>
  <si>
    <t>MIẾN</t>
  </si>
  <si>
    <t>MIẾN KHÔ VIFON. NSX: T03/2026, HSD T03/2027, Xuất xứ VN, Hàng mới 100%</t>
  </si>
  <si>
    <t>19023030</t>
  </si>
  <si>
    <t>MIẾNG LÓT GIÀY</t>
  </si>
  <si>
    <t>MIẾNG LÓT GIÀY ÊM CHÂN CHẤT LIỆU PU, KÍCH THƯỚC SIZE 35-38, KHÔNG NHÃN HIỆU, XUẤT XỨ VN, HÀNG MỚI 100%</t>
  </si>
  <si>
    <t>64069099</t>
  </si>
  <si>
    <t xml:space="preserve">Miếng sắt </t>
  </si>
  <si>
    <t>Miếng sắt làm khuôn ổ khóa, kích thước 5cm*5cm, Xuất xứ VN, Hàng mới 100%</t>
  </si>
  <si>
    <t>72169900</t>
  </si>
  <si>
    <t>MÓC TREO QUẦN ÁO</t>
  </si>
  <si>
    <t>MÓC TREO QUẦN ÁO BẰNG NHỰA HIỆU VĨ HƯNG XUẤT XỨ VIỆT NAM, HÀNG MỚI 100%</t>
  </si>
  <si>
    <t>MŨ</t>
  </si>
  <si>
    <t>MŨ VẢI HADES. Xuất xứ VN, Hàng mới 100%</t>
  </si>
  <si>
    <t>65050090</t>
  </si>
  <si>
    <t>MŨ VẢI ONTOP. Xuất xứ VN, Hàng mới 100%</t>
  </si>
  <si>
    <t>Mũ bảo hiểm</t>
  </si>
  <si>
    <t>Mũ bảo hiểm cho người đi xe máy hiệu Royal, Xuất xứ VN, Hàng mới 100%</t>
  </si>
  <si>
    <t>65061010</t>
  </si>
  <si>
    <t>MUỐI</t>
  </si>
  <si>
    <t>MUỐI TÔM DH FOODS . NSX: T03/2026, HSD T03/2027, Xuất xứ VN, Hàng mới 100%</t>
  </si>
  <si>
    <t>25010010</t>
  </si>
  <si>
    <t>UNA</t>
  </si>
  <si>
    <t>MUỐI TÔM NHƯ Ý . NSX: T03/2026, HSD T03/2027, Xuất xứ VN, Hàng mới 100%</t>
  </si>
  <si>
    <t>MỨT</t>
  </si>
  <si>
    <t>MỨT DỪA HƯƠNG VIỆT. NSX: T03/2026, HSD T03/2027, Xuất xứ VN, Hàng mới 100%</t>
  </si>
  <si>
    <t>20079920</t>
  </si>
  <si>
    <t>MỨT HOA QUẢ GOLDEN FARM. NSX: T03/2026, HSD T03/2027, Xuất xứ VN, Hàng mới 100%</t>
  </si>
  <si>
    <t>MỨT HOA QUẢ LA FRESH. NSX: T03/2026, HSD T03/2027, Xuất xứ VN, Hàng mới 100%</t>
  </si>
  <si>
    <t>MỨT TRÁI CÂY LẠC XUÂN. NSX: T03/2026, HSD: T03/2027, Xuất xứ VN, Hàng mới 100%</t>
  </si>
  <si>
    <t>MỨT TRÁI CÂY UNIFRESH. NSX: T03/2026, HSD T03/2027, Xuất xứ VN, Hàng mới 100%</t>
  </si>
  <si>
    <t>Nắp bình nước</t>
  </si>
  <si>
    <t>Nắp bình nước bằng nhựa, không nhãn hiệu, Xuất xứ VN, Hàng mới 100%</t>
  </si>
  <si>
    <t>39235000</t>
  </si>
  <si>
    <t xml:space="preserve">NỒI NẤU </t>
  </si>
  <si>
    <t>NỒI NẤU BẰNG INOX SUNHOUSE, DUNG TÍCH 10 LÍT, KÍCH THƯỚC 50x35x15CM. Xuất xứ VN, Hàng mới 100%</t>
  </si>
  <si>
    <t xml:space="preserve">NƯỚC MẮM </t>
  </si>
  <si>
    <t>NƯỚC MẮM NAM NGƯ, NSX: T03/2026, HSD T03/2027, Xuất xứ VN, Hàng mới 100%</t>
  </si>
  <si>
    <t>21039012</t>
  </si>
  <si>
    <t>PHỞ</t>
  </si>
  <si>
    <t>PHỞ GẠO HÀ NỘI. NSX: T03/2026, HSD: T03/2027, Xuất xứ VN, Hàng mới 100%</t>
  </si>
  <si>
    <t>PHỤ KIỆN BẾP</t>
  </si>
  <si>
    <t>CHẢO INOX SUNHOUSE, KÍCH THƯỚC 30CM. Xuất xứ VN, Hàng mới 100%</t>
  </si>
  <si>
    <t>PHỤ KIỆN CÀI TÓC</t>
  </si>
  <si>
    <t>PHỤ KIỆN CÀI TÓC BẰNG NHỰA KHÔNG NHÃN HIỆU, Xuất xứ VN, Hàng mới 100%</t>
  </si>
  <si>
    <t>96151130</t>
  </si>
  <si>
    <t>PHỤ KIỆN XE ĐẠP</t>
  </si>
  <si>
    <t>RỔ XE ĐẠP BẰNG NHỰA PP, KÍCH THƯỚC 25X34X18 CM, KHÔNG NHÃN HIỆU, XUẤT XỨ VN. HÀNG MỚI 100%</t>
  </si>
  <si>
    <t>39249090</t>
  </si>
  <si>
    <t>PHỤ KIỆN XE MÁY</t>
  </si>
  <si>
    <t>BỐ THẮNG DÙNG CHO XE MÁY KHÔNG NHÃN HIỆU . Xuất xứ VN, Hàng mới 100%</t>
  </si>
  <si>
    <t>87141090</t>
  </si>
  <si>
    <t>CHÂN CHỐNG BẰNG INOX DÙNG CHO XE MÁY KHÔNG NHÃN HIỆU . Xuất xứ VN, Hàng mới 100%</t>
  </si>
  <si>
    <t>DÈ XE BẰNG NHỰA DÙNG CHO XE MÁY KHÔNG NHÃN HIỆU . Xuất xứ VN, Hàng mới 100%</t>
  </si>
  <si>
    <t>QUẦN ÁO</t>
  </si>
  <si>
    <t>ÁO BA LỖ NAM CHẤT LIỆU COTTON HIỆU GOTI SHOP. Xuất xứ VN, Hàng mới 100%</t>
  </si>
  <si>
    <t>61091010</t>
  </si>
  <si>
    <t>ÁO KHOÁC NAM CHẤT LIỆU COTTON KHÔNG NHÃN HIỆU. Xuất xứ VN, Hàng mới 100%</t>
  </si>
  <si>
    <t>61019000</t>
  </si>
  <si>
    <t>ÁO KHOÁC NỮ CHẤT LIỆU COTTON KHÔNG NHÃN HIỆU. Xuất xứ VN, Hàng mới 100%</t>
  </si>
  <si>
    <t>62029090</t>
  </si>
  <si>
    <t>ÁO THUN NỮ HIỆU LAVICHI CHẤT LIỆU COTTON. Xuất xứ VN, Hàng mới 100%</t>
  </si>
  <si>
    <t>61099020</t>
  </si>
  <si>
    <t>BỘ QUẦN ÁO NAM CHẤT LIỆU COTTON KHÔNG NHÃN HIỆU. Xuất xứ VN, Hàng mới 100%</t>
  </si>
  <si>
    <t>62032990</t>
  </si>
  <si>
    <t>BỘ QUẦN ÁO NAM CHẤT LIỆU POLYESTER. Không nhãn hiệu, Xuất xứ VN, Hàng mới 100%</t>
  </si>
  <si>
    <t>BỘ QUẦN ÁO NỮ CHẤT LIỆU COTTON KHÔNG NHÃN HIỆU. Xuất xứ VN, Hàng mới 100%</t>
  </si>
  <si>
    <t>62042990</t>
  </si>
  <si>
    <t>BỘ QUẦN ÁO NỮ CHẤT LIỆU POLYESTER KHÔNG NHÃN HIỆU, Xuất xứ VN, Hàng mới 100%</t>
  </si>
  <si>
    <t>BỘ QUẦN ÁO THỂ THAO CHẤT LIỆU COTTON KHÔNG NHÃN HIỆU . Xuất xứ VN, Hàng mới 100%</t>
  </si>
  <si>
    <t>61121200</t>
  </si>
  <si>
    <t>BỘ QUẦN ÁO TRẺ EM CHẤT LIỆU COTTON KHÔNG NHÃN HIỆU. Xuất xứ VN, Hàng mới 100%</t>
  </si>
  <si>
    <t>62114990</t>
  </si>
  <si>
    <t>BỘ QUẦN ÁO TRẺ EM CHẤT LIỆU POLYESTER KHÔNG NHÃN HIỆU, Xuất xứ VN, Hàng mới 100%</t>
  </si>
  <si>
    <t>CHÂN VÁY CHẤT LIỆU COTTON KHÔNG NHÃN HIỆU. Xuất xứ VN, Hàng mới 100%</t>
  </si>
  <si>
    <t>61045200</t>
  </si>
  <si>
    <t>ĐỒ LÓT NỮ CHẤT LIỆU COTTON KHÔNG NHÃN HIỆU . Xuất xứ VN, Hàng mới 100%</t>
  </si>
  <si>
    <t>62089990</t>
  </si>
  <si>
    <t>QUẦN DÀI NAM CHẤT LIỆU COTTON KHÔNG NHÃN HIỆU. Xuất xứ VN, Hàng mới 100%</t>
  </si>
  <si>
    <t>62034990</t>
  </si>
  <si>
    <t>Quần Jean Nam hiệu Sagoniz, Xuất xứ VN,  hàng mới 100%</t>
  </si>
  <si>
    <t>62034290</t>
  </si>
  <si>
    <t>VÁY NỮ CHẤT LIỆU VISCOSE. Xuất xứ VN, Hàng mới 100%</t>
  </si>
  <si>
    <t>62044990</t>
  </si>
  <si>
    <t>SNACK</t>
  </si>
  <si>
    <t>SNACK OISHI. NSX: T03/2026, HSD T03/2027, Xuất xứ VN, Hàng mới 100%</t>
  </si>
  <si>
    <t>SNACK QUE CAY BÀ TUYẾT. NSX: T03/2026, HSD T03/2027, Xuất xứ VN, Hàng mới 100%</t>
  </si>
  <si>
    <t xml:space="preserve">SỨ CÁCH ĐIỆN </t>
  </si>
  <si>
    <t>SỨ CÁCH ĐIỆN DÙNG ĐỂ GẮN TRỤ ĐIỆN BẰNG GỐM, KÍCH THƯỚC 8 x 6 x 6 CM, KHÔNG NHÃN HIỆU, HÀNG MỚI 100% XUẤT XỨ VIỆT NAM</t>
  </si>
  <si>
    <t>85469000</t>
  </si>
  <si>
    <t>SƯỜN NON CHAY</t>
  </si>
  <si>
    <t>SƯỜN NON CHAY AN LẠC. NSX: T03/2026, HSD T03/2027, Xuất xứ VN, Hàng mới 100%</t>
  </si>
  <si>
    <t>21069019</t>
  </si>
  <si>
    <t>SƯỜN NON CHAY AN NHIÊN. NSX: T03/2026, HSD T03/2027, Xuất xứ VN, Hàng mới 100%</t>
  </si>
  <si>
    <t>SƯỜN NON CHAY ÂU LẠC. NSX: T03/2026, HSD: T03/2027, Xuất xứ VN, Hàng mới 100%</t>
  </si>
  <si>
    <t>Tấm phủ đồ nội thất</t>
  </si>
  <si>
    <t xml:space="preserve">Tấm phủ đồ nội thất không nhãn hiệu, chất liệu nilon, kích
thước (3m*5m), hàng mới 100%</t>
  </si>
  <si>
    <t>39232990</t>
  </si>
  <si>
    <t>TẤM VÁN GỖ</t>
  </si>
  <si>
    <t>TẤM VÁN GỖ CÔNG NGHIỆP MDF DÙNG ĐỂ LÓT SÀN, KHÔNG NHÃN HIỆU, KÍCH THƯỚC 240x46x84 CM, DÀY 5MM, XUẤT XỨ VIỆT NAM, HÀNG MỚI 100%</t>
  </si>
  <si>
    <t>44111200</t>
  </si>
  <si>
    <t>TAM</t>
  </si>
  <si>
    <t>TẤT</t>
  </si>
  <si>
    <t>Vớ (tất) không nhãn hiệu, chất liệu 100% cotton KHÔNG NHÃN HIỆU. Xuất xứ VN, Hàng mới 100%</t>
  </si>
  <si>
    <t>61159500</t>
  </si>
  <si>
    <t>TEM GIẤY</t>
  </si>
  <si>
    <t>TEM GIẤY KHÔNG NHÃN HIỆU. Xuất xứ VN, Hàng mới 100%</t>
  </si>
  <si>
    <t>48211090</t>
  </si>
  <si>
    <t>Thạch trái cây</t>
  </si>
  <si>
    <t>Thạch trái cây Anko, NSX: T03/2026, HSD: T03/2027, Xuất xứ VN, Hàng mới 100%</t>
  </si>
  <si>
    <t>THẠCH TRÁI CÂY VỊ DỪA HIỆU CHERISH. NSX: T03/2026, HSD T03/2027, Xuất xứ VN, Hàng mới 100%</t>
  </si>
  <si>
    <t>Thạch trái cây ZAI ZAI, NSX: T03/2026, HSD: T03/2027, Xuất xứ VN, Hàng mới 100%</t>
  </si>
  <si>
    <t>Thìa</t>
  </si>
  <si>
    <t>Thìa (muỗng) bằng inox size 5cm, dùng để múc thức ăn không nhãn hiệu, Xuất xứ VN, Hàng mới 100%</t>
  </si>
  <si>
    <t xml:space="preserve">Thiệp </t>
  </si>
  <si>
    <t>Thiệp mừng cưới đã in hoa văn chất liệu giấy, hình chữ nhật kích thước 20 x 12 cm , Xuất xứ VN, Hàng mới 100%</t>
  </si>
  <si>
    <t xml:space="preserve">THÚ BÔNG </t>
  </si>
  <si>
    <t>THÚ BÔNG KHÔNG NHÃN HIỆU, XUẤT XỨ VN, HÀNG MỚI 100%</t>
  </si>
  <si>
    <t>TÔM KHÔ</t>
  </si>
  <si>
    <t>TÔM KHÔ CÀ MAU. NSX: T03/2026, HSD T03/2027, Xuất xứ VN, Hàng mới 100%</t>
  </si>
  <si>
    <t>03069530</t>
  </si>
  <si>
    <t>TÔM KHÔ NGỌC HIỂN. NSX: T03/2026, HSD T03/2027, Xuất xứ VN, Hàng mới 100%</t>
  </si>
  <si>
    <t>TÔM KHÔ THIÊN FOODS. NSX: T03/2026, HSD T03/2027, Xuất xứ VN, Hàng mới 100%</t>
  </si>
  <si>
    <t>TÔM KHÔ THIÊN NHIÊN. NSX: T03/2026, HSD T03/2027, Xuất xứ VN, Hàng mới 100%</t>
  </si>
  <si>
    <t>TRÀ</t>
  </si>
  <si>
    <t>Trà Atiso hiệu LADOTEA. NSX: T03/2026, HSD T03/2027, Xuất xứ VN, Hàng mới 100%</t>
  </si>
  <si>
    <t>09022090</t>
  </si>
  <si>
    <t>TRÀ BẢO AN. NSX: T03/2026, HSD T03/2027, Xuất xứ VN, Hàng mới 100%</t>
  </si>
  <si>
    <t>TRÀ BẢO NGÂN. NSX: T03/2026, HSD: T03/2027, Xuất xứ VN, Hàng mới 100%</t>
  </si>
  <si>
    <t>TRÀ COZY. NSX: T03/2026, HSD T03/2027, Xuất xứ VN, Hàng mới 100%</t>
  </si>
  <si>
    <t>TRÀ HẠT SEN THÁI BẢO. NSX: T03/2026, HSD T03/2027, Xuất xứ VN, Hàng mới 100%</t>
  </si>
  <si>
    <t>TRÀ HOA NHÀI BẢO NGÂN. NSX: T03/2026, HSD T03/2027, Xuất xứ VN, Hàng mới 100%</t>
  </si>
  <si>
    <t>TRÀ LIPTON. NSX: T03/2026, HSD T03/2027, Xuất xứ VN, Hàng mới 100%</t>
  </si>
  <si>
    <t>TRÀ NESTEA. NSX: T03/2026, HSD T03/2027, Xuất xứ VN, Hàng mới 100%</t>
  </si>
  <si>
    <t>TRÀ NGỌC QUANG. NSX: T03/2026, HSD: T03/2027, Xuất xứ VN, Hàng mới 100%</t>
  </si>
  <si>
    <t>TRÀ SÂM DỨA THIÊN THẢO. NSX: T03/2026, HSD T03/2027, Xuất xứ VN, Hàng mới 100%</t>
  </si>
  <si>
    <t>TRÀ TÂN CƯƠNG. NSX: T03/2026, HSD T03/2027, Xuất xứ VN, Hàng mới 100%</t>
  </si>
  <si>
    <t>TRÀ TRUNG NGUYÊN. NSX: T03/2026, HSD T03/2027, Xuất xứ VN, Hàng mới 100%</t>
  </si>
  <si>
    <t>TRÁI CÂY SẤY</t>
  </si>
  <si>
    <t>TRÁI CÂY SẤY NAFOODS. NSX: T03/2026, HSD T03/2027, Xuất xứ VN, Hàng mới 100%</t>
  </si>
  <si>
    <t>20089990</t>
  </si>
  <si>
    <t>TRÁI CÂY SẤY VINAMIT. NSX: T03/2026, HSD T03/2027, Xuất xứ VN, Hàng mới 100%</t>
  </si>
  <si>
    <t>XOÀI SẤY ANVY. NSX: T03/2026, HSD T03/2027, Xuất xứ VN, Hàng mới 100%</t>
  </si>
  <si>
    <t>08045022</t>
  </si>
  <si>
    <t>TÚI</t>
  </si>
  <si>
    <t>TÚI VẢI KHÔNG NHÃN HIỆU. Xuất xứ VN, Hàng mới 100%</t>
  </si>
  <si>
    <t>42022900</t>
  </si>
  <si>
    <t>TƯỢNG</t>
  </si>
  <si>
    <t>TƯỢNG TRANG TRÍ BẰNG NHỰA KÍCH THƯỚC: CAO 30CM KHÔNG NHÃN HIỆU XUẤT XỨ VN.HÀNG MỚI 100%</t>
  </si>
  <si>
    <t>TƯỢNG TRANG TRÍ BẰNG THỦY TINH  KÍCH THƯỚC: DÀI 5CM KHÔNG NHÃN HIỆU XUẤT XỨ VN.HÀNG MỚI 100%</t>
  </si>
  <si>
    <t>70189010</t>
  </si>
  <si>
    <t>VẢI</t>
  </si>
  <si>
    <t>VẢI DỆT KIM BẰNG 100% COTTON HÀNG ĐÃ NHUỘM KHỔ 54'' KHÔNG NHÃN HIỆU , XUẤT XỨ VN, HÀNG MỚI 100%</t>
  </si>
  <si>
    <t>60062200</t>
  </si>
  <si>
    <t>MTR</t>
  </si>
  <si>
    <t>VẢI DỆT THOI POLYESTER, KÍCH THƯỚC 160 x 25 x 26 CM, KHÔNG NHÃN HIỆU. Xuất xứ VN, Hàng mới 100%</t>
  </si>
  <si>
    <t>54075100</t>
  </si>
  <si>
    <t>VỢT</t>
  </si>
  <si>
    <t>VỢT CẦU LÔNG KHÔNG NHÃN HIỆU . Xuất xứ VN, Hàng mới 100%</t>
  </si>
  <si>
    <t>95065900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</si>
</sst>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0.0#####"/>
    <numFmt numFmtId="165" formatCode="#,###,###,###,###,##0.0###"/>
    <numFmt numFmtId="166" formatCode="_-* #,##0.00_-;-* #,##0.00_-;_-* &quot;-&quot;??_-;_-@_-"/>
  </numFmts>
  <fonts count="6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workbookViewId="0" zoomScale="85" zoomScaleNormal="85">
      <pane ySplit="1" topLeftCell="A2" activePane="bottomLeft" state="frozen"/>
      <selection pane="bottomLeft" activeCell="G3" sqref="G3"/>
    </sheetView>
  </sheetViews>
  <sheetFormatPr defaultRowHeight="15.5" outlineLevelRow="0" outlineLevelCol="0" x14ac:dyDescent="0.35" defaultColWidth="9.1796875" customHeight="1"/>
  <cols>
    <col min="1" max="1" width="18.453125" style="1" customWidth="1"/>
    <col min="2" max="2" width="50.54296875" style="1" customWidth="1"/>
    <col min="3" max="3" width="17.81640625" style="2" customWidth="1"/>
    <col min="4" max="4" width="8.81640625" style="2" customWidth="1"/>
    <col min="5" max="5" width="11.54296875" style="3" customWidth="1"/>
    <col min="6" max="6" width="8.81640625" style="2" customWidth="1"/>
    <col min="7" max="7" width="15" style="2" customWidth="1"/>
    <col min="8" max="8" width="9.54296875" style="4" customWidth="1"/>
    <col min="9" max="9" width="12.26953125" style="2" customWidth="1"/>
    <col min="10" max="10" width="15.26953125" style="2" customWidth="1"/>
    <col min="11" max="16384" width="9.1796875" style="2" customWidth="1"/>
  </cols>
  <sheetData>
    <row r="1" ht="50.5" customHeight="1" spans="1:10" x14ac:dyDescent="0.2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9" t="s">
        <v>7</v>
      </c>
      <c r="I1" s="5" t="s">
        <v>8</v>
      </c>
      <c r="J1" s="5" t="s">
        <v>9</v>
      </c>
    </row>
    <row r="2" ht="50.5" customHeight="1" spans="1:10" x14ac:dyDescent="0.25">
      <c r="A2" s="10" t="s">
        <v>10</v>
      </c>
      <c r="B2" s="11" t="s">
        <v>11</v>
      </c>
      <c r="C2" s="12" t="s">
        <v>12</v>
      </c>
      <c r="D2" s="13" t="s">
        <v>13</v>
      </c>
      <c r="E2" s="14">
        <v>33</v>
      </c>
      <c r="F2" s="15" t="s">
        <v>14</v>
      </c>
      <c r="G2" s="16">
        <v>0.62</v>
      </c>
      <c r="H2" s="17">
        <f t="shared" ref="H2:H33" si="0">E2*G2</f>
        <v>20.46</v>
      </c>
      <c r="I2" s="18">
        <v>0.5</v>
      </c>
      <c r="J2" s="18">
        <f t="shared" ref="J2:J33" si="1">I2*E2</f>
        <v>16.5</v>
      </c>
    </row>
    <row r="3" ht="50.5" customHeight="1" spans="1:10" x14ac:dyDescent="0.25">
      <c r="A3" s="10" t="s">
        <v>10</v>
      </c>
      <c r="B3" s="11" t="s">
        <v>15</v>
      </c>
      <c r="C3" s="12" t="s">
        <v>12</v>
      </c>
      <c r="D3" s="13" t="s">
        <v>13</v>
      </c>
      <c r="E3" s="14">
        <v>18</v>
      </c>
      <c r="F3" s="15" t="s">
        <v>14</v>
      </c>
      <c r="G3" s="16">
        <v>0.5</v>
      </c>
      <c r="H3" s="17">
        <f t="shared" si="0"/>
        <v>9</v>
      </c>
      <c r="I3" s="18">
        <v>1</v>
      </c>
      <c r="J3" s="18">
        <f t="shared" si="1"/>
        <v>18</v>
      </c>
    </row>
    <row r="4" ht="50.5" customHeight="1" spans="1:10" x14ac:dyDescent="0.25">
      <c r="A4" s="10" t="s">
        <v>10</v>
      </c>
      <c r="B4" s="11" t="s">
        <v>16</v>
      </c>
      <c r="C4" s="12" t="s">
        <v>17</v>
      </c>
      <c r="D4" s="13" t="s">
        <v>13</v>
      </c>
      <c r="E4" s="19">
        <v>40</v>
      </c>
      <c r="F4" s="15" t="s">
        <v>14</v>
      </c>
      <c r="G4" s="15">
        <v>0.5</v>
      </c>
      <c r="H4" s="20">
        <f t="shared" si="0"/>
        <v>20</v>
      </c>
      <c r="I4" s="21">
        <v>0.5</v>
      </c>
      <c r="J4" s="21">
        <f t="shared" si="1"/>
        <v>20</v>
      </c>
    </row>
    <row r="5" ht="50.5" customHeight="1" spans="1:10" x14ac:dyDescent="0.25">
      <c r="A5" s="10" t="s">
        <v>10</v>
      </c>
      <c r="B5" s="11" t="s">
        <v>18</v>
      </c>
      <c r="C5" s="12" t="s">
        <v>12</v>
      </c>
      <c r="D5" s="13" t="s">
        <v>13</v>
      </c>
      <c r="E5" s="14">
        <v>46</v>
      </c>
      <c r="F5" s="15" t="s">
        <v>14</v>
      </c>
      <c r="G5" s="16">
        <v>0.5</v>
      </c>
      <c r="H5" s="17">
        <f t="shared" si="0"/>
        <v>23</v>
      </c>
      <c r="I5" s="18">
        <v>0.5</v>
      </c>
      <c r="J5" s="18">
        <f t="shared" si="1"/>
        <v>23</v>
      </c>
    </row>
    <row r="6" ht="50.5" customHeight="1" spans="1:10" x14ac:dyDescent="0.25">
      <c r="A6" s="10" t="s">
        <v>10</v>
      </c>
      <c r="B6" s="11" t="s">
        <v>19</v>
      </c>
      <c r="C6" s="12" t="s">
        <v>20</v>
      </c>
      <c r="D6" s="13" t="s">
        <v>13</v>
      </c>
      <c r="E6" s="14">
        <v>47</v>
      </c>
      <c r="F6" s="15" t="s">
        <v>14</v>
      </c>
      <c r="G6" s="16">
        <v>0.38</v>
      </c>
      <c r="H6" s="17">
        <f t="shared" si="0"/>
        <v>17.86</v>
      </c>
      <c r="I6" s="18">
        <v>0.5</v>
      </c>
      <c r="J6" s="18">
        <f t="shared" si="1"/>
        <v>23.5</v>
      </c>
    </row>
    <row r="7" ht="50.5" customHeight="1" spans="1:10" x14ac:dyDescent="0.25">
      <c r="A7" s="10" t="s">
        <v>10</v>
      </c>
      <c r="B7" s="11" t="s">
        <v>21</v>
      </c>
      <c r="C7" s="12" t="s">
        <v>12</v>
      </c>
      <c r="D7" s="13" t="s">
        <v>13</v>
      </c>
      <c r="E7" s="19">
        <v>70</v>
      </c>
      <c r="F7" s="15" t="s">
        <v>14</v>
      </c>
      <c r="G7" s="15">
        <v>0.69</v>
      </c>
      <c r="H7" s="20">
        <f t="shared" si="0"/>
        <v>48.3</v>
      </c>
      <c r="I7" s="21">
        <v>0.5</v>
      </c>
      <c r="J7" s="21">
        <f t="shared" si="1"/>
        <v>35</v>
      </c>
    </row>
    <row r="8" ht="31" customHeight="1" spans="1:10" x14ac:dyDescent="0.25">
      <c r="A8" s="10" t="s">
        <v>10</v>
      </c>
      <c r="B8" s="11" t="s">
        <v>22</v>
      </c>
      <c r="C8" s="12" t="s">
        <v>12</v>
      </c>
      <c r="D8" s="13" t="s">
        <v>13</v>
      </c>
      <c r="E8" s="14">
        <v>30</v>
      </c>
      <c r="F8" s="15" t="s">
        <v>14</v>
      </c>
      <c r="G8" s="16">
        <v>0.32</v>
      </c>
      <c r="H8" s="17">
        <f t="shared" si="0"/>
        <v>9.6</v>
      </c>
      <c r="I8" s="18">
        <v>0.1</v>
      </c>
      <c r="J8" s="18">
        <f t="shared" si="1"/>
        <v>3</v>
      </c>
    </row>
    <row r="9" ht="50.5" customHeight="1" spans="1:10" x14ac:dyDescent="0.25">
      <c r="A9" s="10" t="s">
        <v>10</v>
      </c>
      <c r="B9" s="11" t="s">
        <v>23</v>
      </c>
      <c r="C9" s="12" t="s">
        <v>12</v>
      </c>
      <c r="D9" s="13" t="s">
        <v>13</v>
      </c>
      <c r="E9" s="14">
        <v>75</v>
      </c>
      <c r="F9" s="15" t="s">
        <v>14</v>
      </c>
      <c r="G9" s="16">
        <v>0.34</v>
      </c>
      <c r="H9" s="17">
        <f t="shared" si="0"/>
        <v>25.500000000000004</v>
      </c>
      <c r="I9" s="18">
        <v>0.2</v>
      </c>
      <c r="J9" s="18">
        <f t="shared" si="1"/>
        <v>15</v>
      </c>
    </row>
    <row r="10" ht="50.5" customHeight="1" spans="1:10" x14ac:dyDescent="0.25">
      <c r="A10" s="10" t="s">
        <v>10</v>
      </c>
      <c r="B10" s="11" t="s">
        <v>24</v>
      </c>
      <c r="C10" s="12" t="s">
        <v>12</v>
      </c>
      <c r="D10" s="13" t="s">
        <v>13</v>
      </c>
      <c r="E10" s="14">
        <v>65</v>
      </c>
      <c r="F10" s="15" t="s">
        <v>14</v>
      </c>
      <c r="G10" s="16">
        <v>0.77</v>
      </c>
      <c r="H10" s="17">
        <f t="shared" si="0"/>
        <v>50.050000000000004</v>
      </c>
      <c r="I10" s="18">
        <v>0.5</v>
      </c>
      <c r="J10" s="18">
        <f t="shared" si="1"/>
        <v>32.5</v>
      </c>
    </row>
    <row r="11" ht="31" customHeight="1" spans="1:10" x14ac:dyDescent="0.25">
      <c r="A11" s="10" t="s">
        <v>10</v>
      </c>
      <c r="B11" s="11" t="s">
        <v>25</v>
      </c>
      <c r="C11" s="12" t="s">
        <v>12</v>
      </c>
      <c r="D11" s="13" t="s">
        <v>13</v>
      </c>
      <c r="E11" s="14">
        <v>85</v>
      </c>
      <c r="F11" s="15" t="s">
        <v>14</v>
      </c>
      <c r="G11" s="16">
        <v>0.5</v>
      </c>
      <c r="H11" s="17">
        <f t="shared" si="0"/>
        <v>42.5</v>
      </c>
      <c r="I11" s="18">
        <v>0.5</v>
      </c>
      <c r="J11" s="18">
        <f t="shared" si="1"/>
        <v>42.5</v>
      </c>
    </row>
    <row r="12" ht="46.5" customHeight="1" spans="1:10" x14ac:dyDescent="0.25">
      <c r="A12" s="10" t="s">
        <v>10</v>
      </c>
      <c r="B12" s="11" t="s">
        <v>26</v>
      </c>
      <c r="C12" s="12" t="s">
        <v>12</v>
      </c>
      <c r="D12" s="13" t="s">
        <v>13</v>
      </c>
      <c r="E12" s="19">
        <v>33</v>
      </c>
      <c r="F12" s="15" t="s">
        <v>14</v>
      </c>
      <c r="G12" s="15">
        <v>0.3</v>
      </c>
      <c r="H12" s="20">
        <f t="shared" si="0"/>
        <v>9.9</v>
      </c>
      <c r="I12" s="21">
        <v>0.2</v>
      </c>
      <c r="J12" s="21">
        <f t="shared" si="1"/>
        <v>6.6000000000000005</v>
      </c>
    </row>
    <row r="13" ht="50.5" customHeight="1" spans="1:10" x14ac:dyDescent="0.25">
      <c r="A13" s="10" t="s">
        <v>10</v>
      </c>
      <c r="B13" s="11" t="s">
        <v>27</v>
      </c>
      <c r="C13" s="12" t="s">
        <v>12</v>
      </c>
      <c r="D13" s="13" t="s">
        <v>13</v>
      </c>
      <c r="E13" s="14">
        <v>80</v>
      </c>
      <c r="F13" s="15" t="s">
        <v>14</v>
      </c>
      <c r="G13" s="16">
        <v>0.62</v>
      </c>
      <c r="H13" s="17">
        <f t="shared" si="0"/>
        <v>49.6</v>
      </c>
      <c r="I13" s="18">
        <v>0.5</v>
      </c>
      <c r="J13" s="18">
        <f t="shared" si="1"/>
        <v>40</v>
      </c>
    </row>
    <row r="14" ht="50.5" customHeight="1" spans="1:10" x14ac:dyDescent="0.25">
      <c r="A14" s="10" t="s">
        <v>10</v>
      </c>
      <c r="B14" s="11" t="s">
        <v>28</v>
      </c>
      <c r="C14" s="12" t="s">
        <v>12</v>
      </c>
      <c r="D14" s="13" t="s">
        <v>13</v>
      </c>
      <c r="E14" s="14">
        <v>46</v>
      </c>
      <c r="F14" s="15" t="s">
        <v>14</v>
      </c>
      <c r="G14" s="16">
        <v>0.9</v>
      </c>
      <c r="H14" s="17">
        <f t="shared" si="0"/>
        <v>41.4</v>
      </c>
      <c r="I14" s="18">
        <v>0.5</v>
      </c>
      <c r="J14" s="18">
        <f t="shared" si="1"/>
        <v>23</v>
      </c>
    </row>
    <row r="15" ht="50.5" customHeight="1" spans="1:10" x14ac:dyDescent="0.25">
      <c r="A15" s="10" t="s">
        <v>10</v>
      </c>
      <c r="B15" s="11" t="s">
        <v>29</v>
      </c>
      <c r="C15" s="12" t="s">
        <v>12</v>
      </c>
      <c r="D15" s="13" t="s">
        <v>13</v>
      </c>
      <c r="E15" s="14">
        <v>45</v>
      </c>
      <c r="F15" s="15" t="s">
        <v>14</v>
      </c>
      <c r="G15" s="16">
        <v>0.9</v>
      </c>
      <c r="H15" s="17">
        <f t="shared" si="0"/>
        <v>40.5</v>
      </c>
      <c r="I15" s="18">
        <v>1</v>
      </c>
      <c r="J15" s="18">
        <f t="shared" si="1"/>
        <v>45</v>
      </c>
    </row>
    <row r="16" ht="50.5" customHeight="1" spans="1:10" x14ac:dyDescent="0.25">
      <c r="A16" s="10" t="s">
        <v>10</v>
      </c>
      <c r="B16" s="11" t="s">
        <v>30</v>
      </c>
      <c r="C16" s="12" t="s">
        <v>20</v>
      </c>
      <c r="D16" s="13" t="s">
        <v>13</v>
      </c>
      <c r="E16" s="14">
        <v>43</v>
      </c>
      <c r="F16" s="15" t="s">
        <v>14</v>
      </c>
      <c r="G16" s="16">
        <v>0.5</v>
      </c>
      <c r="H16" s="17">
        <f t="shared" si="0"/>
        <v>21.5</v>
      </c>
      <c r="I16" s="18">
        <v>0.5</v>
      </c>
      <c r="J16" s="18">
        <f t="shared" si="1"/>
        <v>21.5</v>
      </c>
    </row>
    <row r="17" ht="50.5" customHeight="1" spans="1:10" x14ac:dyDescent="0.25">
      <c r="A17" s="10" t="s">
        <v>10</v>
      </c>
      <c r="B17" s="11" t="s">
        <v>31</v>
      </c>
      <c r="C17" s="12" t="s">
        <v>20</v>
      </c>
      <c r="D17" s="13" t="s">
        <v>13</v>
      </c>
      <c r="E17" s="14">
        <v>15</v>
      </c>
      <c r="F17" s="15" t="s">
        <v>14</v>
      </c>
      <c r="G17" s="16">
        <v>0.66</v>
      </c>
      <c r="H17" s="17">
        <f t="shared" si="0"/>
        <v>9.9</v>
      </c>
      <c r="I17" s="18">
        <v>0.5</v>
      </c>
      <c r="J17" s="18">
        <f t="shared" si="1"/>
        <v>7.5</v>
      </c>
    </row>
    <row r="18" ht="50.5" customHeight="1" spans="1:10" x14ac:dyDescent="0.25">
      <c r="A18" s="10" t="s">
        <v>10</v>
      </c>
      <c r="B18" s="11" t="s">
        <v>32</v>
      </c>
      <c r="C18" s="12" t="s">
        <v>20</v>
      </c>
      <c r="D18" s="13" t="s">
        <v>13</v>
      </c>
      <c r="E18" s="14">
        <v>56</v>
      </c>
      <c r="F18" s="15" t="s">
        <v>14</v>
      </c>
      <c r="G18" s="16">
        <v>0.4</v>
      </c>
      <c r="H18" s="17">
        <f t="shared" si="0"/>
        <v>22.400000000000002</v>
      </c>
      <c r="I18" s="18">
        <v>0.5</v>
      </c>
      <c r="J18" s="18">
        <f t="shared" si="1"/>
        <v>28</v>
      </c>
    </row>
    <row r="19" ht="50.5" customHeight="1" spans="1:10" x14ac:dyDescent="0.25">
      <c r="A19" s="10" t="s">
        <v>10</v>
      </c>
      <c r="B19" s="11" t="s">
        <v>33</v>
      </c>
      <c r="C19" s="12" t="s">
        <v>20</v>
      </c>
      <c r="D19" s="13" t="s">
        <v>13</v>
      </c>
      <c r="E19" s="14">
        <v>73</v>
      </c>
      <c r="F19" s="15" t="s">
        <v>14</v>
      </c>
      <c r="G19" s="16">
        <v>0.4</v>
      </c>
      <c r="H19" s="17">
        <f t="shared" si="0"/>
        <v>29.200000000000003</v>
      </c>
      <c r="I19" s="18">
        <v>0.5</v>
      </c>
      <c r="J19" s="18">
        <f t="shared" si="1"/>
        <v>36.5</v>
      </c>
    </row>
    <row r="20" ht="50.5" customHeight="1" spans="1:10" x14ac:dyDescent="0.25">
      <c r="A20" s="10" t="s">
        <v>10</v>
      </c>
      <c r="B20" s="11" t="s">
        <v>34</v>
      </c>
      <c r="C20" s="12" t="s">
        <v>20</v>
      </c>
      <c r="D20" s="13" t="s">
        <v>13</v>
      </c>
      <c r="E20" s="14">
        <v>59</v>
      </c>
      <c r="F20" s="15" t="s">
        <v>14</v>
      </c>
      <c r="G20" s="16">
        <v>0.5</v>
      </c>
      <c r="H20" s="17">
        <f t="shared" si="0"/>
        <v>29.5</v>
      </c>
      <c r="I20" s="18">
        <v>0.5</v>
      </c>
      <c r="J20" s="18">
        <f t="shared" si="1"/>
        <v>29.5</v>
      </c>
    </row>
    <row r="21" ht="50.5" customHeight="1" spans="1:10" x14ac:dyDescent="0.25">
      <c r="A21" s="10" t="s">
        <v>10</v>
      </c>
      <c r="B21" s="11" t="s">
        <v>35</v>
      </c>
      <c r="C21" s="12" t="s">
        <v>20</v>
      </c>
      <c r="D21" s="13" t="s">
        <v>13</v>
      </c>
      <c r="E21" s="14">
        <v>71</v>
      </c>
      <c r="F21" s="15" t="s">
        <v>14</v>
      </c>
      <c r="G21" s="16">
        <v>0.66</v>
      </c>
      <c r="H21" s="17">
        <f t="shared" si="0"/>
        <v>46.86</v>
      </c>
      <c r="I21" s="18">
        <v>0.5</v>
      </c>
      <c r="J21" s="18">
        <f t="shared" si="1"/>
        <v>35.5</v>
      </c>
    </row>
    <row r="22" ht="50.5" customHeight="1" spans="1:10" x14ac:dyDescent="0.25">
      <c r="A22" s="10" t="s">
        <v>10</v>
      </c>
      <c r="B22" s="11" t="s">
        <v>36</v>
      </c>
      <c r="C22" s="12" t="s">
        <v>20</v>
      </c>
      <c r="D22" s="13" t="s">
        <v>13</v>
      </c>
      <c r="E22" s="19">
        <v>46</v>
      </c>
      <c r="F22" s="15" t="s">
        <v>14</v>
      </c>
      <c r="G22" s="15">
        <v>0.52</v>
      </c>
      <c r="H22" s="20">
        <f t="shared" si="0"/>
        <v>23.92</v>
      </c>
      <c r="I22" s="21">
        <v>0.5</v>
      </c>
      <c r="J22" s="21">
        <f t="shared" si="1"/>
        <v>23</v>
      </c>
    </row>
    <row r="23" ht="50.5" customHeight="1" spans="1:10" x14ac:dyDescent="0.25">
      <c r="A23" s="10" t="s">
        <v>10</v>
      </c>
      <c r="B23" s="11" t="s">
        <v>37</v>
      </c>
      <c r="C23" s="12" t="s">
        <v>20</v>
      </c>
      <c r="D23" s="13" t="s">
        <v>13</v>
      </c>
      <c r="E23" s="14">
        <v>87</v>
      </c>
      <c r="F23" s="15" t="s">
        <v>14</v>
      </c>
      <c r="G23" s="16">
        <v>0.9</v>
      </c>
      <c r="H23" s="17">
        <f t="shared" si="0"/>
        <v>78.3</v>
      </c>
      <c r="I23" s="18">
        <v>0.5</v>
      </c>
      <c r="J23" s="18">
        <f t="shared" si="1"/>
        <v>43.5</v>
      </c>
    </row>
    <row r="24" ht="50.5" customHeight="1" spans="1:10" x14ac:dyDescent="0.25">
      <c r="A24" s="10" t="s">
        <v>10</v>
      </c>
      <c r="B24" s="11" t="s">
        <v>38</v>
      </c>
      <c r="C24" s="12" t="s">
        <v>20</v>
      </c>
      <c r="D24" s="13" t="s">
        <v>13</v>
      </c>
      <c r="E24" s="14">
        <v>44</v>
      </c>
      <c r="F24" s="15" t="s">
        <v>14</v>
      </c>
      <c r="G24" s="16">
        <v>0.66</v>
      </c>
      <c r="H24" s="17">
        <f t="shared" si="0"/>
        <v>29.040000000000003</v>
      </c>
      <c r="I24" s="18">
        <v>0.5</v>
      </c>
      <c r="J24" s="18">
        <f t="shared" si="1"/>
        <v>22</v>
      </c>
    </row>
    <row r="25" ht="50.5" customHeight="1" spans="1:10" x14ac:dyDescent="0.25">
      <c r="A25" s="10" t="s">
        <v>10</v>
      </c>
      <c r="B25" s="11" t="s">
        <v>39</v>
      </c>
      <c r="C25" s="12" t="s">
        <v>20</v>
      </c>
      <c r="D25" s="13" t="s">
        <v>13</v>
      </c>
      <c r="E25" s="14">
        <v>80</v>
      </c>
      <c r="F25" s="15" t="s">
        <v>14</v>
      </c>
      <c r="G25" s="16">
        <v>0.66</v>
      </c>
      <c r="H25" s="17">
        <f t="shared" si="0"/>
        <v>52.800000000000004</v>
      </c>
      <c r="I25" s="18">
        <v>0.5</v>
      </c>
      <c r="J25" s="18">
        <f t="shared" si="1"/>
        <v>40</v>
      </c>
    </row>
    <row r="26" ht="50.5" customHeight="1" spans="1:10" x14ac:dyDescent="0.25">
      <c r="A26" s="10" t="s">
        <v>40</v>
      </c>
      <c r="B26" s="11" t="s">
        <v>41</v>
      </c>
      <c r="C26" s="12" t="s">
        <v>42</v>
      </c>
      <c r="D26" s="13" t="s">
        <v>13</v>
      </c>
      <c r="E26" s="14">
        <v>70</v>
      </c>
      <c r="F26" s="15" t="s">
        <v>43</v>
      </c>
      <c r="G26" s="16">
        <v>1</v>
      </c>
      <c r="H26" s="17">
        <f t="shared" si="0"/>
        <v>70</v>
      </c>
      <c r="I26" s="18">
        <v>0.5</v>
      </c>
      <c r="J26" s="18">
        <f t="shared" si="1"/>
        <v>35</v>
      </c>
    </row>
    <row r="27" ht="50.5" customHeight="1" spans="1:10" x14ac:dyDescent="0.25">
      <c r="A27" s="10" t="s">
        <v>44</v>
      </c>
      <c r="B27" s="11" t="s">
        <v>45</v>
      </c>
      <c r="C27" s="12" t="s">
        <v>46</v>
      </c>
      <c r="D27" s="13" t="s">
        <v>13</v>
      </c>
      <c r="E27" s="14">
        <v>10</v>
      </c>
      <c r="F27" s="15" t="s">
        <v>47</v>
      </c>
      <c r="G27" s="16">
        <v>0.85</v>
      </c>
      <c r="H27" s="17">
        <f t="shared" si="0"/>
        <v>8.5</v>
      </c>
      <c r="I27" s="18">
        <v>0.8</v>
      </c>
      <c r="J27" s="18">
        <f t="shared" si="1"/>
        <v>8</v>
      </c>
    </row>
    <row r="28" ht="50.5" customHeight="1" spans="1:10" x14ac:dyDescent="0.25">
      <c r="A28" s="10" t="s">
        <v>48</v>
      </c>
      <c r="B28" s="11" t="s">
        <v>49</v>
      </c>
      <c r="C28" s="12" t="s">
        <v>50</v>
      </c>
      <c r="D28" s="13" t="s">
        <v>13</v>
      </c>
      <c r="E28" s="14">
        <v>59</v>
      </c>
      <c r="F28" s="15" t="s">
        <v>47</v>
      </c>
      <c r="G28" s="16">
        <v>0.9</v>
      </c>
      <c r="H28" s="17">
        <f t="shared" si="0"/>
        <v>53.1</v>
      </c>
      <c r="I28" s="18">
        <v>0.2</v>
      </c>
      <c r="J28" s="18">
        <f t="shared" si="1"/>
        <v>11.8</v>
      </c>
    </row>
    <row r="29" ht="50.5" customHeight="1" spans="1:10" x14ac:dyDescent="0.25">
      <c r="A29" s="10" t="s">
        <v>51</v>
      </c>
      <c r="B29" s="11" t="s">
        <v>52</v>
      </c>
      <c r="C29" s="12" t="s">
        <v>53</v>
      </c>
      <c r="D29" s="13" t="s">
        <v>13</v>
      </c>
      <c r="E29" s="14">
        <v>16</v>
      </c>
      <c r="F29" s="15" t="s">
        <v>14</v>
      </c>
      <c r="G29" s="16">
        <v>0.4</v>
      </c>
      <c r="H29" s="17">
        <f t="shared" si="0"/>
        <v>6.4</v>
      </c>
      <c r="I29" s="18">
        <v>0.5</v>
      </c>
      <c r="J29" s="18">
        <f t="shared" si="1"/>
        <v>8</v>
      </c>
    </row>
    <row r="30" ht="50.5" customHeight="1" spans="1:10" x14ac:dyDescent="0.25">
      <c r="A30" s="10" t="s">
        <v>54</v>
      </c>
      <c r="B30" s="11" t="s">
        <v>55</v>
      </c>
      <c r="C30" s="12" t="s">
        <v>56</v>
      </c>
      <c r="D30" s="13" t="s">
        <v>13</v>
      </c>
      <c r="E30" s="19">
        <v>56</v>
      </c>
      <c r="F30" s="15" t="s">
        <v>14</v>
      </c>
      <c r="G30" s="15">
        <v>0.4</v>
      </c>
      <c r="H30" s="20">
        <f t="shared" si="0"/>
        <v>22.400000000000002</v>
      </c>
      <c r="I30" s="21">
        <v>0.4</v>
      </c>
      <c r="J30" s="21">
        <f t="shared" si="1"/>
        <v>22.400000000000002</v>
      </c>
    </row>
    <row r="31" ht="50.5" customHeight="1" spans="1:10" x14ac:dyDescent="0.25">
      <c r="A31" s="10" t="s">
        <v>57</v>
      </c>
      <c r="B31" s="11" t="s">
        <v>58</v>
      </c>
      <c r="C31" s="12" t="s">
        <v>53</v>
      </c>
      <c r="D31" s="13" t="s">
        <v>13</v>
      </c>
      <c r="E31" s="14">
        <v>80</v>
      </c>
      <c r="F31" s="15" t="s">
        <v>14</v>
      </c>
      <c r="G31" s="16">
        <v>0.7</v>
      </c>
      <c r="H31" s="17">
        <f t="shared" si="0"/>
        <v>56</v>
      </c>
      <c r="I31" s="18">
        <v>0.5</v>
      </c>
      <c r="J31" s="18">
        <f t="shared" si="1"/>
        <v>40</v>
      </c>
    </row>
    <row r="32" ht="50.5" customHeight="1" spans="1:10" x14ac:dyDescent="0.25">
      <c r="A32" s="10" t="s">
        <v>59</v>
      </c>
      <c r="B32" s="11" t="s">
        <v>60</v>
      </c>
      <c r="C32" s="12" t="s">
        <v>61</v>
      </c>
      <c r="D32" s="13" t="s">
        <v>13</v>
      </c>
      <c r="E32" s="14">
        <v>49</v>
      </c>
      <c r="F32" s="15" t="s">
        <v>14</v>
      </c>
      <c r="G32" s="16">
        <v>0.98</v>
      </c>
      <c r="H32" s="17">
        <f t="shared" si="0"/>
        <v>48.019999999999996</v>
      </c>
      <c r="I32" s="18">
        <v>0.5</v>
      </c>
      <c r="J32" s="18">
        <f t="shared" si="1"/>
        <v>24.5</v>
      </c>
    </row>
    <row r="33" ht="50.5" customHeight="1" spans="1:10" x14ac:dyDescent="0.25">
      <c r="A33" s="10" t="s">
        <v>59</v>
      </c>
      <c r="B33" s="11" t="s">
        <v>62</v>
      </c>
      <c r="C33" s="12" t="s">
        <v>61</v>
      </c>
      <c r="D33" s="13" t="s">
        <v>13</v>
      </c>
      <c r="E33" s="14">
        <v>92</v>
      </c>
      <c r="F33" s="15" t="s">
        <v>14</v>
      </c>
      <c r="G33" s="16">
        <v>0.65</v>
      </c>
      <c r="H33" s="17">
        <f t="shared" si="0"/>
        <v>59.800000000000004</v>
      </c>
      <c r="I33" s="18">
        <v>0.5</v>
      </c>
      <c r="J33" s="18">
        <f t="shared" si="1"/>
        <v>46</v>
      </c>
    </row>
    <row r="34" ht="50.5" customHeight="1" spans="1:10" x14ac:dyDescent="0.25">
      <c r="A34" s="10" t="s">
        <v>59</v>
      </c>
      <c r="B34" s="11" t="s">
        <v>63</v>
      </c>
      <c r="C34" s="12" t="s">
        <v>61</v>
      </c>
      <c r="D34" s="13" t="s">
        <v>13</v>
      </c>
      <c r="E34" s="14">
        <v>35</v>
      </c>
      <c r="F34" s="15" t="s">
        <v>14</v>
      </c>
      <c r="G34" s="16">
        <v>0.65</v>
      </c>
      <c r="H34" s="17">
        <f t="shared" ref="H34:H65" si="2">E34*G34</f>
        <v>22.75</v>
      </c>
      <c r="I34" s="18">
        <v>0.5</v>
      </c>
      <c r="J34" s="18">
        <f t="shared" ref="J34:J65" si="3">I34*E34</f>
        <v>17.5</v>
      </c>
    </row>
    <row r="35" ht="50.5" customHeight="1" spans="1:10" x14ac:dyDescent="0.25">
      <c r="A35" s="10" t="s">
        <v>64</v>
      </c>
      <c r="B35" s="11" t="s">
        <v>65</v>
      </c>
      <c r="C35" s="12" t="s">
        <v>66</v>
      </c>
      <c r="D35" s="13" t="s">
        <v>13</v>
      </c>
      <c r="E35" s="14">
        <v>46</v>
      </c>
      <c r="F35" s="15" t="s">
        <v>14</v>
      </c>
      <c r="G35" s="16">
        <v>0.86</v>
      </c>
      <c r="H35" s="17">
        <f t="shared" si="2"/>
        <v>39.56</v>
      </c>
      <c r="I35" s="22">
        <v>0.5</v>
      </c>
      <c r="J35" s="18">
        <f t="shared" si="3"/>
        <v>23</v>
      </c>
    </row>
    <row r="36" ht="50.5" customHeight="1" spans="1:10" x14ac:dyDescent="0.25">
      <c r="A36" s="10" t="s">
        <v>64</v>
      </c>
      <c r="B36" s="11" t="s">
        <v>67</v>
      </c>
      <c r="C36" s="12" t="s">
        <v>66</v>
      </c>
      <c r="D36" s="13" t="s">
        <v>13</v>
      </c>
      <c r="E36" s="14">
        <v>46</v>
      </c>
      <c r="F36" s="15" t="s">
        <v>14</v>
      </c>
      <c r="G36" s="16">
        <v>0.79</v>
      </c>
      <c r="H36" s="17">
        <f t="shared" si="2"/>
        <v>36.34</v>
      </c>
      <c r="I36" s="18">
        <v>0.5</v>
      </c>
      <c r="J36" s="18">
        <f t="shared" si="3"/>
        <v>23</v>
      </c>
    </row>
    <row r="37" ht="50.5" customHeight="1" spans="1:10" x14ac:dyDescent="0.25">
      <c r="A37" s="10" t="s">
        <v>64</v>
      </c>
      <c r="B37" s="11" t="s">
        <v>68</v>
      </c>
      <c r="C37" s="12" t="s">
        <v>66</v>
      </c>
      <c r="D37" s="13" t="s">
        <v>13</v>
      </c>
      <c r="E37" s="14">
        <v>80</v>
      </c>
      <c r="F37" s="15" t="s">
        <v>14</v>
      </c>
      <c r="G37" s="16">
        <v>0.98</v>
      </c>
      <c r="H37" s="17">
        <f t="shared" si="2"/>
        <v>78.4</v>
      </c>
      <c r="I37" s="18">
        <v>0.5</v>
      </c>
      <c r="J37" s="18">
        <f t="shared" si="3"/>
        <v>40</v>
      </c>
    </row>
    <row r="38" ht="50.5" customHeight="1" spans="1:10" x14ac:dyDescent="0.25">
      <c r="A38" s="10" t="s">
        <v>64</v>
      </c>
      <c r="B38" s="11" t="s">
        <v>69</v>
      </c>
      <c r="C38" s="12" t="s">
        <v>66</v>
      </c>
      <c r="D38" s="13" t="s">
        <v>13</v>
      </c>
      <c r="E38" s="14">
        <v>43</v>
      </c>
      <c r="F38" s="15" t="s">
        <v>14</v>
      </c>
      <c r="G38" s="16">
        <v>0.98</v>
      </c>
      <c r="H38" s="17">
        <f t="shared" si="2"/>
        <v>42.14</v>
      </c>
      <c r="I38" s="18">
        <v>0.5</v>
      </c>
      <c r="J38" s="18">
        <f t="shared" si="3"/>
        <v>21.5</v>
      </c>
    </row>
    <row r="39" ht="50.5" customHeight="1" spans="1:10" x14ac:dyDescent="0.25">
      <c r="A39" s="10" t="s">
        <v>64</v>
      </c>
      <c r="B39" s="11" t="s">
        <v>70</v>
      </c>
      <c r="C39" s="12" t="s">
        <v>66</v>
      </c>
      <c r="D39" s="13" t="s">
        <v>13</v>
      </c>
      <c r="E39" s="14">
        <v>39</v>
      </c>
      <c r="F39" s="15" t="s">
        <v>14</v>
      </c>
      <c r="G39" s="16">
        <v>0.98</v>
      </c>
      <c r="H39" s="17">
        <f t="shared" si="2"/>
        <v>38.22</v>
      </c>
      <c r="I39" s="18">
        <v>0.5</v>
      </c>
      <c r="J39" s="18">
        <f t="shared" si="3"/>
        <v>19.5</v>
      </c>
    </row>
    <row r="40" ht="50.5" customHeight="1" spans="1:10" x14ac:dyDescent="0.25">
      <c r="A40" s="10" t="s">
        <v>64</v>
      </c>
      <c r="B40" s="11" t="s">
        <v>71</v>
      </c>
      <c r="C40" s="12" t="s">
        <v>66</v>
      </c>
      <c r="D40" s="13" t="s">
        <v>13</v>
      </c>
      <c r="E40" s="14">
        <v>68</v>
      </c>
      <c r="F40" s="15" t="s">
        <v>14</v>
      </c>
      <c r="G40" s="16">
        <v>0.98</v>
      </c>
      <c r="H40" s="17">
        <f t="shared" si="2"/>
        <v>66.64</v>
      </c>
      <c r="I40" s="18">
        <v>0.5</v>
      </c>
      <c r="J40" s="18">
        <f t="shared" si="3"/>
        <v>34</v>
      </c>
    </row>
    <row r="41" ht="50.5" customHeight="1" spans="1:10" x14ac:dyDescent="0.25">
      <c r="A41" s="10" t="s">
        <v>72</v>
      </c>
      <c r="B41" s="11" t="s">
        <v>73</v>
      </c>
      <c r="C41" s="12" t="s">
        <v>74</v>
      </c>
      <c r="D41" s="13" t="s">
        <v>13</v>
      </c>
      <c r="E41" s="14">
        <v>79</v>
      </c>
      <c r="F41" s="15" t="s">
        <v>14</v>
      </c>
      <c r="G41" s="16">
        <v>0.75</v>
      </c>
      <c r="H41" s="17">
        <f t="shared" si="2"/>
        <v>59.25</v>
      </c>
      <c r="I41" s="18">
        <v>0.5</v>
      </c>
      <c r="J41" s="18">
        <f t="shared" si="3"/>
        <v>39.5</v>
      </c>
    </row>
    <row r="42" ht="50.5" customHeight="1" spans="1:10" x14ac:dyDescent="0.25">
      <c r="A42" s="10" t="s">
        <v>72</v>
      </c>
      <c r="B42" s="11" t="s">
        <v>75</v>
      </c>
      <c r="C42" s="12" t="s">
        <v>74</v>
      </c>
      <c r="D42" s="13" t="s">
        <v>13</v>
      </c>
      <c r="E42" s="14">
        <v>70</v>
      </c>
      <c r="F42" s="15" t="s">
        <v>14</v>
      </c>
      <c r="G42" s="16">
        <v>0.64</v>
      </c>
      <c r="H42" s="17">
        <f t="shared" si="2"/>
        <v>44.800000000000004</v>
      </c>
      <c r="I42" s="18">
        <v>0.5</v>
      </c>
      <c r="J42" s="18">
        <f t="shared" si="3"/>
        <v>35</v>
      </c>
    </row>
    <row r="43" ht="50.5" customHeight="1" spans="1:10" x14ac:dyDescent="0.25">
      <c r="A43" s="10" t="s">
        <v>72</v>
      </c>
      <c r="B43" s="11" t="s">
        <v>76</v>
      </c>
      <c r="C43" s="12" t="s">
        <v>74</v>
      </c>
      <c r="D43" s="13" t="s">
        <v>13</v>
      </c>
      <c r="E43" s="14">
        <v>33</v>
      </c>
      <c r="F43" s="15" t="s">
        <v>14</v>
      </c>
      <c r="G43" s="16">
        <v>0.62</v>
      </c>
      <c r="H43" s="17">
        <f t="shared" si="2"/>
        <v>20.46</v>
      </c>
      <c r="I43" s="18">
        <v>0.5</v>
      </c>
      <c r="J43" s="18">
        <f t="shared" si="3"/>
        <v>16.5</v>
      </c>
    </row>
    <row r="44" ht="50.5" customHeight="1" spans="1:10" x14ac:dyDescent="0.25">
      <c r="A44" s="10" t="s">
        <v>72</v>
      </c>
      <c r="B44" s="11" t="s">
        <v>77</v>
      </c>
      <c r="C44" s="12" t="s">
        <v>74</v>
      </c>
      <c r="D44" s="13" t="s">
        <v>13</v>
      </c>
      <c r="E44" s="14">
        <v>53</v>
      </c>
      <c r="F44" s="15" t="s">
        <v>14</v>
      </c>
      <c r="G44" s="16">
        <v>0.64</v>
      </c>
      <c r="H44" s="17">
        <f t="shared" si="2"/>
        <v>33.92</v>
      </c>
      <c r="I44" s="18">
        <v>0.5</v>
      </c>
      <c r="J44" s="18">
        <f t="shared" si="3"/>
        <v>26.5</v>
      </c>
    </row>
    <row r="45" ht="50.5" customHeight="1" spans="1:10" x14ac:dyDescent="0.25">
      <c r="A45" s="10" t="s">
        <v>72</v>
      </c>
      <c r="B45" s="11" t="s">
        <v>78</v>
      </c>
      <c r="C45" s="12" t="s">
        <v>74</v>
      </c>
      <c r="D45" s="13" t="s">
        <v>13</v>
      </c>
      <c r="E45" s="19">
        <v>86</v>
      </c>
      <c r="F45" s="15" t="s">
        <v>14</v>
      </c>
      <c r="G45" s="15">
        <v>0.8</v>
      </c>
      <c r="H45" s="20">
        <f t="shared" si="2"/>
        <v>68.8</v>
      </c>
      <c r="I45" s="21">
        <v>0.5</v>
      </c>
      <c r="J45" s="21">
        <f t="shared" si="3"/>
        <v>43</v>
      </c>
    </row>
    <row r="46" ht="50.5" customHeight="1" spans="1:10" x14ac:dyDescent="0.25">
      <c r="A46" s="10" t="s">
        <v>72</v>
      </c>
      <c r="B46" s="11" t="s">
        <v>79</v>
      </c>
      <c r="C46" s="12" t="s">
        <v>74</v>
      </c>
      <c r="D46" s="13" t="s">
        <v>13</v>
      </c>
      <c r="E46" s="19">
        <v>45</v>
      </c>
      <c r="F46" s="15" t="s">
        <v>14</v>
      </c>
      <c r="G46" s="16">
        <v>0.85</v>
      </c>
      <c r="H46" s="20">
        <f t="shared" si="2"/>
        <v>38.25</v>
      </c>
      <c r="I46" s="21">
        <v>0.5</v>
      </c>
      <c r="J46" s="21">
        <f t="shared" si="3"/>
        <v>22.5</v>
      </c>
    </row>
    <row r="47" ht="50.5" customHeight="1" spans="1:10" x14ac:dyDescent="0.25">
      <c r="A47" s="10" t="s">
        <v>80</v>
      </c>
      <c r="B47" s="11" t="s">
        <v>81</v>
      </c>
      <c r="C47" s="12" t="s">
        <v>82</v>
      </c>
      <c r="D47" s="13" t="s">
        <v>13</v>
      </c>
      <c r="E47" s="14">
        <v>80</v>
      </c>
      <c r="F47" s="15" t="s">
        <v>14</v>
      </c>
      <c r="G47" s="16">
        <v>0.8</v>
      </c>
      <c r="H47" s="17">
        <f t="shared" si="2"/>
        <v>64</v>
      </c>
      <c r="I47" s="18">
        <v>0.5</v>
      </c>
      <c r="J47" s="18">
        <f t="shared" si="3"/>
        <v>40</v>
      </c>
    </row>
    <row r="48" ht="50.5" customHeight="1" spans="1:10" x14ac:dyDescent="0.25">
      <c r="A48" s="10" t="s">
        <v>80</v>
      </c>
      <c r="B48" s="11" t="s">
        <v>83</v>
      </c>
      <c r="C48" s="12" t="s">
        <v>82</v>
      </c>
      <c r="D48" s="13" t="s">
        <v>13</v>
      </c>
      <c r="E48" s="14">
        <v>10</v>
      </c>
      <c r="F48" s="15" t="s">
        <v>14</v>
      </c>
      <c r="G48" s="16">
        <v>0.8</v>
      </c>
      <c r="H48" s="17">
        <f t="shared" si="2"/>
        <v>8</v>
      </c>
      <c r="I48" s="18">
        <v>0.5</v>
      </c>
      <c r="J48" s="18">
        <f t="shared" si="3"/>
        <v>5</v>
      </c>
    </row>
    <row r="49" ht="50.5" customHeight="1" spans="1:10" x14ac:dyDescent="0.25">
      <c r="A49" s="10" t="s">
        <v>80</v>
      </c>
      <c r="B49" s="11" t="s">
        <v>84</v>
      </c>
      <c r="C49" s="12" t="s">
        <v>82</v>
      </c>
      <c r="D49" s="13" t="s">
        <v>13</v>
      </c>
      <c r="E49" s="14">
        <v>45</v>
      </c>
      <c r="F49" s="15" t="s">
        <v>14</v>
      </c>
      <c r="G49" s="16">
        <v>0.97</v>
      </c>
      <c r="H49" s="17">
        <f t="shared" si="2"/>
        <v>43.65</v>
      </c>
      <c r="I49" s="18">
        <v>0.5</v>
      </c>
      <c r="J49" s="18">
        <f t="shared" si="3"/>
        <v>22.5</v>
      </c>
    </row>
    <row r="50" ht="50.5" customHeight="1" spans="1:10" x14ac:dyDescent="0.25">
      <c r="A50" s="10" t="s">
        <v>80</v>
      </c>
      <c r="B50" s="11" t="s">
        <v>85</v>
      </c>
      <c r="C50" s="12" t="s">
        <v>82</v>
      </c>
      <c r="D50" s="13" t="s">
        <v>13</v>
      </c>
      <c r="E50" s="14">
        <v>32</v>
      </c>
      <c r="F50" s="15" t="s">
        <v>14</v>
      </c>
      <c r="G50" s="16">
        <v>0.97</v>
      </c>
      <c r="H50" s="17">
        <f t="shared" si="2"/>
        <v>31.04</v>
      </c>
      <c r="I50" s="18">
        <v>0.5</v>
      </c>
      <c r="J50" s="18">
        <f t="shared" si="3"/>
        <v>16</v>
      </c>
    </row>
    <row r="51" ht="50.5" customHeight="1" spans="1:10" x14ac:dyDescent="0.25">
      <c r="A51" s="10" t="s">
        <v>80</v>
      </c>
      <c r="B51" s="11" t="s">
        <v>86</v>
      </c>
      <c r="C51" s="12" t="s">
        <v>82</v>
      </c>
      <c r="D51" s="13" t="s">
        <v>13</v>
      </c>
      <c r="E51" s="14">
        <v>51</v>
      </c>
      <c r="F51" s="15" t="s">
        <v>14</v>
      </c>
      <c r="G51" s="16">
        <v>0.97</v>
      </c>
      <c r="H51" s="17">
        <f t="shared" si="2"/>
        <v>49.47</v>
      </c>
      <c r="I51" s="18">
        <v>0.5</v>
      </c>
      <c r="J51" s="18">
        <f t="shared" si="3"/>
        <v>25.5</v>
      </c>
    </row>
    <row r="52" ht="50.5" customHeight="1" spans="1:10" x14ac:dyDescent="0.25">
      <c r="A52" s="10" t="s">
        <v>80</v>
      </c>
      <c r="B52" s="11" t="s">
        <v>87</v>
      </c>
      <c r="C52" s="12" t="s">
        <v>82</v>
      </c>
      <c r="D52" s="13" t="s">
        <v>13</v>
      </c>
      <c r="E52" s="14">
        <v>48</v>
      </c>
      <c r="F52" s="15" t="s">
        <v>14</v>
      </c>
      <c r="G52" s="16">
        <v>0.97</v>
      </c>
      <c r="H52" s="17">
        <f t="shared" si="2"/>
        <v>46.56</v>
      </c>
      <c r="I52" s="18">
        <v>0.5</v>
      </c>
      <c r="J52" s="18">
        <f t="shared" si="3"/>
        <v>24</v>
      </c>
    </row>
    <row r="53" ht="50.5" customHeight="1" spans="1:10" x14ac:dyDescent="0.25">
      <c r="A53" s="10" t="s">
        <v>80</v>
      </c>
      <c r="B53" s="11" t="s">
        <v>88</v>
      </c>
      <c r="C53" s="12" t="s">
        <v>82</v>
      </c>
      <c r="D53" s="13" t="s">
        <v>13</v>
      </c>
      <c r="E53" s="14">
        <v>64</v>
      </c>
      <c r="F53" s="15" t="s">
        <v>14</v>
      </c>
      <c r="G53" s="16">
        <v>0.8</v>
      </c>
      <c r="H53" s="17">
        <f t="shared" si="2"/>
        <v>51.2</v>
      </c>
      <c r="I53" s="18">
        <v>0.5</v>
      </c>
      <c r="J53" s="18">
        <f t="shared" si="3"/>
        <v>32</v>
      </c>
    </row>
    <row r="54" ht="50.5" customHeight="1" spans="1:10" x14ac:dyDescent="0.25">
      <c r="A54" s="10" t="s">
        <v>80</v>
      </c>
      <c r="B54" s="11" t="s">
        <v>89</v>
      </c>
      <c r="C54" s="12" t="s">
        <v>82</v>
      </c>
      <c r="D54" s="13" t="s">
        <v>13</v>
      </c>
      <c r="E54" s="14">
        <v>74</v>
      </c>
      <c r="F54" s="15" t="s">
        <v>14</v>
      </c>
      <c r="G54" s="16">
        <v>0.8</v>
      </c>
      <c r="H54" s="17">
        <f t="shared" si="2"/>
        <v>59.2</v>
      </c>
      <c r="I54" s="18">
        <v>0.5</v>
      </c>
      <c r="J54" s="18">
        <f t="shared" si="3"/>
        <v>37</v>
      </c>
    </row>
    <row r="55" ht="50.5" customHeight="1" spans="1:10" x14ac:dyDescent="0.25">
      <c r="A55" s="10" t="s">
        <v>80</v>
      </c>
      <c r="B55" s="11" t="s">
        <v>90</v>
      </c>
      <c r="C55" s="12" t="s">
        <v>82</v>
      </c>
      <c r="D55" s="13" t="s">
        <v>13</v>
      </c>
      <c r="E55" s="14">
        <v>52</v>
      </c>
      <c r="F55" s="15" t="s">
        <v>14</v>
      </c>
      <c r="G55" s="16">
        <v>0.59</v>
      </c>
      <c r="H55" s="17">
        <f t="shared" si="2"/>
        <v>30.68</v>
      </c>
      <c r="I55" s="18">
        <v>0.5</v>
      </c>
      <c r="J55" s="18">
        <f t="shared" si="3"/>
        <v>26</v>
      </c>
    </row>
    <row r="56" ht="50.5" customHeight="1" spans="1:10" x14ac:dyDescent="0.25">
      <c r="A56" s="10" t="s">
        <v>91</v>
      </c>
      <c r="B56" s="11" t="s">
        <v>92</v>
      </c>
      <c r="C56" s="12" t="s">
        <v>93</v>
      </c>
      <c r="D56" s="13" t="s">
        <v>13</v>
      </c>
      <c r="E56" s="14">
        <v>34</v>
      </c>
      <c r="F56" s="15" t="s">
        <v>94</v>
      </c>
      <c r="G56" s="16">
        <v>0.85</v>
      </c>
      <c r="H56" s="17">
        <f t="shared" si="2"/>
        <v>28.9</v>
      </c>
      <c r="I56" s="18">
        <v>0.5</v>
      </c>
      <c r="J56" s="18">
        <f t="shared" si="3"/>
        <v>17</v>
      </c>
    </row>
    <row r="57" ht="50.5" customHeight="1" spans="1:10" x14ac:dyDescent="0.25">
      <c r="A57" s="10" t="s">
        <v>91</v>
      </c>
      <c r="B57" s="11" t="s">
        <v>95</v>
      </c>
      <c r="C57" s="12" t="s">
        <v>93</v>
      </c>
      <c r="D57" s="13" t="s">
        <v>13</v>
      </c>
      <c r="E57" s="14">
        <v>36</v>
      </c>
      <c r="F57" s="15" t="s">
        <v>94</v>
      </c>
      <c r="G57" s="16">
        <v>0.62</v>
      </c>
      <c r="H57" s="17">
        <f t="shared" si="2"/>
        <v>22.32</v>
      </c>
      <c r="I57" s="18">
        <v>0.6</v>
      </c>
      <c r="J57" s="18">
        <f t="shared" si="3"/>
        <v>21.599999999999998</v>
      </c>
    </row>
    <row r="58" ht="50.5" customHeight="1" spans="1:10" x14ac:dyDescent="0.25">
      <c r="A58" s="10" t="s">
        <v>91</v>
      </c>
      <c r="B58" s="11" t="s">
        <v>96</v>
      </c>
      <c r="C58" s="12" t="s">
        <v>93</v>
      </c>
      <c r="D58" s="13" t="s">
        <v>13</v>
      </c>
      <c r="E58" s="14">
        <v>36</v>
      </c>
      <c r="F58" s="15" t="s">
        <v>94</v>
      </c>
      <c r="G58" s="16">
        <v>0.85</v>
      </c>
      <c r="H58" s="17">
        <f t="shared" si="2"/>
        <v>30.599999999999998</v>
      </c>
      <c r="I58" s="18">
        <v>1</v>
      </c>
      <c r="J58" s="18">
        <f t="shared" si="3"/>
        <v>36</v>
      </c>
    </row>
    <row r="59" ht="50.5" customHeight="1" spans="1:10" x14ac:dyDescent="0.25">
      <c r="A59" s="10" t="s">
        <v>97</v>
      </c>
      <c r="B59" s="11" t="s">
        <v>98</v>
      </c>
      <c r="C59" s="12" t="s">
        <v>99</v>
      </c>
      <c r="D59" s="13" t="s">
        <v>13</v>
      </c>
      <c r="E59" s="14">
        <v>85</v>
      </c>
      <c r="F59" s="15" t="s">
        <v>100</v>
      </c>
      <c r="G59" s="16">
        <v>0.62</v>
      </c>
      <c r="H59" s="17">
        <f t="shared" si="2"/>
        <v>52.7</v>
      </c>
      <c r="I59" s="18">
        <v>0.2</v>
      </c>
      <c r="J59" s="18">
        <f t="shared" si="3"/>
        <v>17</v>
      </c>
    </row>
    <row r="60" ht="50.5" customHeight="1" spans="1:10" x14ac:dyDescent="0.25">
      <c r="A60" s="10" t="s">
        <v>97</v>
      </c>
      <c r="B60" s="11" t="s">
        <v>101</v>
      </c>
      <c r="C60" s="12" t="s">
        <v>99</v>
      </c>
      <c r="D60" s="13" t="s">
        <v>13</v>
      </c>
      <c r="E60" s="14">
        <v>59</v>
      </c>
      <c r="F60" s="15" t="s">
        <v>100</v>
      </c>
      <c r="G60" s="16">
        <v>0.62</v>
      </c>
      <c r="H60" s="17">
        <f t="shared" si="2"/>
        <v>36.58</v>
      </c>
      <c r="I60" s="18">
        <v>0.2</v>
      </c>
      <c r="J60" s="18">
        <f t="shared" si="3"/>
        <v>11.8</v>
      </c>
    </row>
    <row r="61" ht="50.5" customHeight="1" spans="1:10" x14ac:dyDescent="0.25">
      <c r="A61" s="10" t="s">
        <v>102</v>
      </c>
      <c r="B61" s="11" t="s">
        <v>103</v>
      </c>
      <c r="C61" s="23" t="s">
        <v>104</v>
      </c>
      <c r="D61" s="13" t="s">
        <v>13</v>
      </c>
      <c r="E61" s="14">
        <v>30</v>
      </c>
      <c r="F61" s="15" t="s">
        <v>47</v>
      </c>
      <c r="G61" s="16">
        <v>0.2</v>
      </c>
      <c r="H61" s="17">
        <f t="shared" si="2"/>
        <v>6</v>
      </c>
      <c r="I61" s="18">
        <v>0.65</v>
      </c>
      <c r="J61" s="18">
        <f t="shared" si="3"/>
        <v>19.5</v>
      </c>
    </row>
    <row r="62" ht="50.5" customHeight="1" spans="1:10" x14ac:dyDescent="0.25">
      <c r="A62" s="10" t="s">
        <v>102</v>
      </c>
      <c r="B62" s="11" t="s">
        <v>105</v>
      </c>
      <c r="C62" s="12" t="s">
        <v>106</v>
      </c>
      <c r="D62" s="13" t="s">
        <v>13</v>
      </c>
      <c r="E62" s="19">
        <v>20</v>
      </c>
      <c r="F62" s="15" t="s">
        <v>107</v>
      </c>
      <c r="G62" s="15">
        <v>0.2</v>
      </c>
      <c r="H62" s="20">
        <f t="shared" si="2"/>
        <v>4</v>
      </c>
      <c r="I62" s="21">
        <v>0.1</v>
      </c>
      <c r="J62" s="18">
        <f t="shared" si="3"/>
        <v>2</v>
      </c>
    </row>
    <row r="63" ht="50.5" customHeight="1" spans="1:10" x14ac:dyDescent="0.25">
      <c r="A63" s="10" t="s">
        <v>108</v>
      </c>
      <c r="B63" s="11" t="s">
        <v>109</v>
      </c>
      <c r="C63" s="12" t="s">
        <v>110</v>
      </c>
      <c r="D63" s="13" t="s">
        <v>13</v>
      </c>
      <c r="E63" s="14">
        <v>20</v>
      </c>
      <c r="F63" s="15" t="s">
        <v>47</v>
      </c>
      <c r="G63" s="16">
        <v>0.3</v>
      </c>
      <c r="H63" s="17">
        <f t="shared" si="2"/>
        <v>6</v>
      </c>
      <c r="I63" s="21">
        <v>0.3</v>
      </c>
      <c r="J63" s="18">
        <f t="shared" si="3"/>
        <v>6</v>
      </c>
    </row>
    <row r="64" ht="50.5" customHeight="1" spans="1:10" x14ac:dyDescent="0.25">
      <c r="A64" s="10" t="s">
        <v>111</v>
      </c>
      <c r="B64" s="11" t="s">
        <v>112</v>
      </c>
      <c r="C64" s="12" t="s">
        <v>113</v>
      </c>
      <c r="D64" s="13" t="s">
        <v>13</v>
      </c>
      <c r="E64" s="14">
        <v>83</v>
      </c>
      <c r="F64" s="15" t="s">
        <v>43</v>
      </c>
      <c r="G64" s="16">
        <v>0.96</v>
      </c>
      <c r="H64" s="17">
        <f t="shared" si="2"/>
        <v>79.67999999999999</v>
      </c>
      <c r="I64" s="18">
        <v>0.5</v>
      </c>
      <c r="J64" s="18">
        <f t="shared" si="3"/>
        <v>41.5</v>
      </c>
    </row>
    <row r="65" ht="50.5" customHeight="1" spans="1:10" x14ac:dyDescent="0.25">
      <c r="A65" s="10" t="s">
        <v>114</v>
      </c>
      <c r="B65" s="11" t="s">
        <v>115</v>
      </c>
      <c r="C65" s="12" t="s">
        <v>116</v>
      </c>
      <c r="D65" s="13" t="s">
        <v>13</v>
      </c>
      <c r="E65" s="14">
        <v>65</v>
      </c>
      <c r="F65" s="15" t="s">
        <v>47</v>
      </c>
      <c r="G65" s="16">
        <v>0.01</v>
      </c>
      <c r="H65" s="17">
        <f t="shared" si="2"/>
        <v>0.65</v>
      </c>
      <c r="I65" s="18">
        <v>0.4</v>
      </c>
      <c r="J65" s="18">
        <f t="shared" si="3"/>
        <v>26</v>
      </c>
    </row>
    <row r="66" ht="50.5" customHeight="1" spans="1:10" x14ac:dyDescent="0.25">
      <c r="A66" s="10" t="s">
        <v>117</v>
      </c>
      <c r="B66" s="11" t="s">
        <v>118</v>
      </c>
      <c r="C66" s="12" t="s">
        <v>119</v>
      </c>
      <c r="D66" s="13" t="s">
        <v>13</v>
      </c>
      <c r="E66" s="14">
        <v>80</v>
      </c>
      <c r="F66" s="15" t="s">
        <v>47</v>
      </c>
      <c r="G66" s="16">
        <v>0.8</v>
      </c>
      <c r="H66" s="17">
        <f t="shared" ref="H66:H97" si="4">E66*G66</f>
        <v>64</v>
      </c>
      <c r="I66" s="18">
        <v>0.3</v>
      </c>
      <c r="J66" s="18">
        <f t="shared" ref="J66:J97" si="5">I66*E66</f>
        <v>24</v>
      </c>
    </row>
    <row r="67" ht="50.5" customHeight="1" spans="1:10" x14ac:dyDescent="0.25">
      <c r="A67" s="10" t="s">
        <v>120</v>
      </c>
      <c r="B67" s="11" t="s">
        <v>121</v>
      </c>
      <c r="C67" s="12" t="s">
        <v>122</v>
      </c>
      <c r="D67" s="13" t="s">
        <v>13</v>
      </c>
      <c r="E67" s="14">
        <v>50</v>
      </c>
      <c r="F67" s="15" t="s">
        <v>14</v>
      </c>
      <c r="G67" s="16">
        <v>0.3</v>
      </c>
      <c r="H67" s="17">
        <f t="shared" si="4"/>
        <v>15</v>
      </c>
      <c r="I67" s="18">
        <v>0.07</v>
      </c>
      <c r="J67" s="18">
        <f t="shared" si="5"/>
        <v>3.5000000000000004</v>
      </c>
    </row>
    <row r="68" ht="50.5" customHeight="1" spans="1:10" x14ac:dyDescent="0.25">
      <c r="A68" s="10" t="s">
        <v>120</v>
      </c>
      <c r="B68" s="11" t="s">
        <v>123</v>
      </c>
      <c r="C68" s="12" t="s">
        <v>122</v>
      </c>
      <c r="D68" s="13" t="s">
        <v>13</v>
      </c>
      <c r="E68" s="14">
        <v>56</v>
      </c>
      <c r="F68" s="15" t="s">
        <v>14</v>
      </c>
      <c r="G68" s="16">
        <v>0.7</v>
      </c>
      <c r="H68" s="17">
        <f t="shared" si="4"/>
        <v>39.199999999999996</v>
      </c>
      <c r="I68" s="18">
        <v>0.5</v>
      </c>
      <c r="J68" s="18">
        <f t="shared" si="5"/>
        <v>28</v>
      </c>
    </row>
    <row r="69" ht="50.5" customHeight="1" spans="1:10" x14ac:dyDescent="0.25">
      <c r="A69" s="10" t="s">
        <v>120</v>
      </c>
      <c r="B69" s="11" t="s">
        <v>124</v>
      </c>
      <c r="C69" s="12" t="s">
        <v>122</v>
      </c>
      <c r="D69" s="13" t="s">
        <v>13</v>
      </c>
      <c r="E69" s="19">
        <v>64</v>
      </c>
      <c r="F69" s="15" t="s">
        <v>14</v>
      </c>
      <c r="G69" s="15">
        <v>0.7</v>
      </c>
      <c r="H69" s="20">
        <f t="shared" si="4"/>
        <v>44.8</v>
      </c>
      <c r="I69" s="21">
        <v>0.5</v>
      </c>
      <c r="J69" s="21">
        <f t="shared" si="5"/>
        <v>32</v>
      </c>
    </row>
    <row r="70" ht="50.5" customHeight="1" spans="1:10" x14ac:dyDescent="0.25">
      <c r="A70" s="10" t="s">
        <v>125</v>
      </c>
      <c r="B70" s="11" t="s">
        <v>126</v>
      </c>
      <c r="C70" s="12" t="s">
        <v>99</v>
      </c>
      <c r="D70" s="13" t="s">
        <v>13</v>
      </c>
      <c r="E70" s="14">
        <v>30</v>
      </c>
      <c r="F70" s="15" t="s">
        <v>100</v>
      </c>
      <c r="G70" s="16">
        <v>0.7</v>
      </c>
      <c r="H70" s="17">
        <f t="shared" si="4"/>
        <v>21</v>
      </c>
      <c r="I70" s="18">
        <v>0.8</v>
      </c>
      <c r="J70" s="18">
        <f t="shared" si="5"/>
        <v>24</v>
      </c>
    </row>
    <row r="71" ht="50.5" customHeight="1" spans="1:10" x14ac:dyDescent="0.25">
      <c r="A71" s="10" t="s">
        <v>127</v>
      </c>
      <c r="B71" s="11" t="s">
        <v>128</v>
      </c>
      <c r="C71" s="12" t="s">
        <v>129</v>
      </c>
      <c r="D71" s="13" t="s">
        <v>13</v>
      </c>
      <c r="E71" s="14">
        <v>60</v>
      </c>
      <c r="F71" s="15" t="s">
        <v>14</v>
      </c>
      <c r="G71" s="16">
        <v>0.76</v>
      </c>
      <c r="H71" s="17">
        <f t="shared" si="4"/>
        <v>45.6</v>
      </c>
      <c r="I71" s="18">
        <v>0.5</v>
      </c>
      <c r="J71" s="18">
        <f t="shared" si="5"/>
        <v>30</v>
      </c>
    </row>
    <row r="72" ht="50.5" customHeight="1" spans="1:10" x14ac:dyDescent="0.25">
      <c r="A72" s="10" t="s">
        <v>127</v>
      </c>
      <c r="B72" s="11" t="s">
        <v>130</v>
      </c>
      <c r="C72" s="12" t="s">
        <v>129</v>
      </c>
      <c r="D72" s="13" t="s">
        <v>13</v>
      </c>
      <c r="E72" s="14">
        <v>53</v>
      </c>
      <c r="F72" s="15" t="s">
        <v>14</v>
      </c>
      <c r="G72" s="16">
        <v>0.67</v>
      </c>
      <c r="H72" s="17">
        <f t="shared" si="4"/>
        <v>35.510000000000005</v>
      </c>
      <c r="I72" s="18">
        <v>1</v>
      </c>
      <c r="J72" s="18">
        <f t="shared" si="5"/>
        <v>53</v>
      </c>
    </row>
    <row r="73" ht="50.5" customHeight="1" spans="1:10" x14ac:dyDescent="0.25">
      <c r="A73" s="10" t="s">
        <v>127</v>
      </c>
      <c r="B73" s="11" t="s">
        <v>131</v>
      </c>
      <c r="C73" s="12" t="s">
        <v>129</v>
      </c>
      <c r="D73" s="13" t="s">
        <v>13</v>
      </c>
      <c r="E73" s="14">
        <v>56</v>
      </c>
      <c r="F73" s="15" t="s">
        <v>14</v>
      </c>
      <c r="G73" s="16">
        <v>0.67</v>
      </c>
      <c r="H73" s="17">
        <f t="shared" si="4"/>
        <v>37.52</v>
      </c>
      <c r="I73" s="18">
        <v>1</v>
      </c>
      <c r="J73" s="18">
        <f t="shared" si="5"/>
        <v>56</v>
      </c>
    </row>
    <row r="74" ht="50.5" customHeight="1" spans="1:10" x14ac:dyDescent="0.25">
      <c r="A74" s="10" t="s">
        <v>132</v>
      </c>
      <c r="B74" s="11" t="s">
        <v>133</v>
      </c>
      <c r="C74" s="12" t="s">
        <v>134</v>
      </c>
      <c r="D74" s="13" t="s">
        <v>13</v>
      </c>
      <c r="E74" s="14">
        <v>52</v>
      </c>
      <c r="F74" s="15" t="s">
        <v>14</v>
      </c>
      <c r="G74" s="16">
        <v>0.71</v>
      </c>
      <c r="H74" s="17">
        <f t="shared" si="4"/>
        <v>36.92</v>
      </c>
      <c r="I74" s="22">
        <v>0.5</v>
      </c>
      <c r="J74" s="18">
        <f t="shared" si="5"/>
        <v>26</v>
      </c>
    </row>
    <row r="75" ht="50.5" customHeight="1" spans="1:10" x14ac:dyDescent="0.25">
      <c r="A75" s="10" t="s">
        <v>135</v>
      </c>
      <c r="B75" s="11" t="s">
        <v>136</v>
      </c>
      <c r="C75" s="12" t="s">
        <v>137</v>
      </c>
      <c r="D75" s="13" t="s">
        <v>13</v>
      </c>
      <c r="E75" s="14">
        <v>71</v>
      </c>
      <c r="F75" s="15" t="s">
        <v>14</v>
      </c>
      <c r="G75" s="16">
        <v>0.62</v>
      </c>
      <c r="H75" s="17">
        <f t="shared" si="4"/>
        <v>44.02</v>
      </c>
      <c r="I75" s="18">
        <v>0.5</v>
      </c>
      <c r="J75" s="18">
        <f t="shared" si="5"/>
        <v>35.5</v>
      </c>
    </row>
    <row r="76" ht="50.5" customHeight="1" spans="1:10" x14ac:dyDescent="0.25">
      <c r="A76" s="10" t="s">
        <v>135</v>
      </c>
      <c r="B76" s="11" t="s">
        <v>138</v>
      </c>
      <c r="C76" s="12" t="s">
        <v>137</v>
      </c>
      <c r="D76" s="13" t="s">
        <v>13</v>
      </c>
      <c r="E76" s="14">
        <v>64</v>
      </c>
      <c r="F76" s="15" t="s">
        <v>14</v>
      </c>
      <c r="G76" s="16">
        <v>0.62</v>
      </c>
      <c r="H76" s="17">
        <f t="shared" si="4"/>
        <v>39.68</v>
      </c>
      <c r="I76" s="18">
        <v>0.5</v>
      </c>
      <c r="J76" s="18">
        <f t="shared" si="5"/>
        <v>32</v>
      </c>
    </row>
    <row r="77" ht="50.5" customHeight="1" spans="1:10" x14ac:dyDescent="0.25">
      <c r="A77" s="10" t="s">
        <v>139</v>
      </c>
      <c r="B77" s="11" t="s">
        <v>140</v>
      </c>
      <c r="C77" s="12" t="s">
        <v>141</v>
      </c>
      <c r="D77" s="13" t="s">
        <v>13</v>
      </c>
      <c r="E77" s="14">
        <v>34</v>
      </c>
      <c r="F77" s="15" t="s">
        <v>14</v>
      </c>
      <c r="G77" s="16">
        <v>0.85</v>
      </c>
      <c r="H77" s="17">
        <f t="shared" si="4"/>
        <v>28.9</v>
      </c>
      <c r="I77" s="18">
        <v>1</v>
      </c>
      <c r="J77" s="18">
        <f t="shared" si="5"/>
        <v>34</v>
      </c>
    </row>
    <row r="78" ht="50.5" customHeight="1" spans="1:10" x14ac:dyDescent="0.25">
      <c r="A78" s="10" t="s">
        <v>139</v>
      </c>
      <c r="B78" s="11" t="s">
        <v>142</v>
      </c>
      <c r="C78" s="12" t="s">
        <v>141</v>
      </c>
      <c r="D78" s="13" t="s">
        <v>13</v>
      </c>
      <c r="E78" s="14">
        <v>46</v>
      </c>
      <c r="F78" s="15" t="s">
        <v>14</v>
      </c>
      <c r="G78" s="16">
        <v>0.85</v>
      </c>
      <c r="H78" s="17">
        <f t="shared" si="4"/>
        <v>39.1</v>
      </c>
      <c r="I78" s="18">
        <v>1</v>
      </c>
      <c r="J78" s="18">
        <f t="shared" si="5"/>
        <v>46</v>
      </c>
    </row>
    <row r="79" ht="31" customHeight="1" spans="1:10" x14ac:dyDescent="0.25">
      <c r="A79" s="10" t="s">
        <v>143</v>
      </c>
      <c r="B79" s="11" t="s">
        <v>144</v>
      </c>
      <c r="C79" s="12" t="s">
        <v>145</v>
      </c>
      <c r="D79" s="13" t="s">
        <v>13</v>
      </c>
      <c r="E79" s="19">
        <v>100</v>
      </c>
      <c r="F79" s="15" t="s">
        <v>146</v>
      </c>
      <c r="G79" s="15">
        <v>25</v>
      </c>
      <c r="H79" s="20">
        <f t="shared" si="4"/>
        <v>2500</v>
      </c>
      <c r="I79" s="21">
        <v>3</v>
      </c>
      <c r="J79" s="21">
        <f t="shared" si="5"/>
        <v>300</v>
      </c>
    </row>
    <row r="80" ht="46.5" customHeight="1" spans="1:10" x14ac:dyDescent="0.25">
      <c r="A80" s="10" t="s">
        <v>147</v>
      </c>
      <c r="B80" s="11" t="s">
        <v>148</v>
      </c>
      <c r="C80" s="12" t="s">
        <v>149</v>
      </c>
      <c r="D80" s="13" t="s">
        <v>13</v>
      </c>
      <c r="E80" s="14">
        <v>140</v>
      </c>
      <c r="F80" s="15" t="s">
        <v>47</v>
      </c>
      <c r="G80" s="16">
        <v>0.01</v>
      </c>
      <c r="H80" s="17">
        <f t="shared" si="4"/>
        <v>1.4000000000000001</v>
      </c>
      <c r="I80" s="21">
        <v>0.01</v>
      </c>
      <c r="J80" s="18">
        <f t="shared" si="5"/>
        <v>1.4000000000000001</v>
      </c>
    </row>
    <row r="81" ht="46.5" customHeight="1" spans="1:10" x14ac:dyDescent="0.25">
      <c r="A81" s="10" t="s">
        <v>147</v>
      </c>
      <c r="B81" s="11" t="s">
        <v>150</v>
      </c>
      <c r="C81" s="12" t="s">
        <v>151</v>
      </c>
      <c r="D81" s="13" t="s">
        <v>13</v>
      </c>
      <c r="E81" s="14">
        <v>84</v>
      </c>
      <c r="F81" s="15" t="s">
        <v>94</v>
      </c>
      <c r="G81" s="16">
        <v>0.5</v>
      </c>
      <c r="H81" s="17">
        <f t="shared" si="4"/>
        <v>42</v>
      </c>
      <c r="I81" s="18">
        <v>0.2</v>
      </c>
      <c r="J81" s="18">
        <f t="shared" si="5"/>
        <v>16.8</v>
      </c>
    </row>
    <row r="82" ht="31" customHeight="1" spans="1:10" x14ac:dyDescent="0.25">
      <c r="A82" s="10" t="s">
        <v>147</v>
      </c>
      <c r="B82" s="11" t="s">
        <v>152</v>
      </c>
      <c r="C82" s="12" t="s">
        <v>153</v>
      </c>
      <c r="D82" s="13" t="s">
        <v>13</v>
      </c>
      <c r="E82" s="14">
        <v>55</v>
      </c>
      <c r="F82" s="15" t="s">
        <v>94</v>
      </c>
      <c r="G82" s="16">
        <v>0.2</v>
      </c>
      <c r="H82" s="17">
        <f t="shared" si="4"/>
        <v>11</v>
      </c>
      <c r="I82" s="18">
        <v>0.1</v>
      </c>
      <c r="J82" s="18">
        <f t="shared" si="5"/>
        <v>5.5</v>
      </c>
    </row>
    <row r="83" ht="31" customHeight="1" spans="1:10" x14ac:dyDescent="0.25">
      <c r="A83" s="10" t="s">
        <v>147</v>
      </c>
      <c r="B83" s="11" t="s">
        <v>154</v>
      </c>
      <c r="C83" s="12" t="s">
        <v>153</v>
      </c>
      <c r="D83" s="13" t="s">
        <v>13</v>
      </c>
      <c r="E83" s="14">
        <v>55</v>
      </c>
      <c r="F83" s="15" t="s">
        <v>94</v>
      </c>
      <c r="G83" s="16">
        <v>0.2</v>
      </c>
      <c r="H83" s="17">
        <f t="shared" si="4"/>
        <v>11</v>
      </c>
      <c r="I83" s="18">
        <v>0.1</v>
      </c>
      <c r="J83" s="18">
        <f t="shared" si="5"/>
        <v>5.5</v>
      </c>
    </row>
    <row r="84" ht="50.5" customHeight="1" spans="1:10" x14ac:dyDescent="0.25">
      <c r="A84" s="10" t="s">
        <v>155</v>
      </c>
      <c r="B84" s="11" t="s">
        <v>156</v>
      </c>
      <c r="C84" s="12" t="s">
        <v>157</v>
      </c>
      <c r="D84" s="13" t="s">
        <v>13</v>
      </c>
      <c r="E84" s="14">
        <v>62</v>
      </c>
      <c r="F84" s="15" t="s">
        <v>14</v>
      </c>
      <c r="G84" s="16">
        <v>0.97</v>
      </c>
      <c r="H84" s="17">
        <f t="shared" si="4"/>
        <v>60.14</v>
      </c>
      <c r="I84" s="18">
        <v>0.5</v>
      </c>
      <c r="J84" s="18">
        <f t="shared" si="5"/>
        <v>31</v>
      </c>
    </row>
    <row r="85" ht="31" customHeight="1" spans="1:10" x14ac:dyDescent="0.25">
      <c r="A85" s="10" t="s">
        <v>155</v>
      </c>
      <c r="B85" s="11" t="s">
        <v>158</v>
      </c>
      <c r="C85" s="12" t="s">
        <v>157</v>
      </c>
      <c r="D85" s="13" t="s">
        <v>13</v>
      </c>
      <c r="E85" s="14">
        <v>36</v>
      </c>
      <c r="F85" s="15" t="s">
        <v>14</v>
      </c>
      <c r="G85" s="16">
        <v>0.4</v>
      </c>
      <c r="H85" s="17">
        <f t="shared" si="4"/>
        <v>14.4</v>
      </c>
      <c r="I85" s="18">
        <v>0.15</v>
      </c>
      <c r="J85" s="18">
        <f t="shared" si="5"/>
        <v>5.3999999999999995</v>
      </c>
    </row>
    <row r="86" ht="31" customHeight="1" spans="1:10" x14ac:dyDescent="0.25">
      <c r="A86" s="10" t="s">
        <v>155</v>
      </c>
      <c r="B86" s="11" t="s">
        <v>159</v>
      </c>
      <c r="C86" s="12" t="s">
        <v>160</v>
      </c>
      <c r="D86" s="13" t="s">
        <v>13</v>
      </c>
      <c r="E86" s="14">
        <v>57</v>
      </c>
      <c r="F86" s="15" t="s">
        <v>14</v>
      </c>
      <c r="G86" s="16">
        <v>0.55</v>
      </c>
      <c r="H86" s="17">
        <f t="shared" si="4"/>
        <v>31.35</v>
      </c>
      <c r="I86" s="18">
        <v>1</v>
      </c>
      <c r="J86" s="18">
        <f t="shared" si="5"/>
        <v>57</v>
      </c>
    </row>
    <row r="87" ht="31" customHeight="1" spans="1:10" x14ac:dyDescent="0.25">
      <c r="A87" s="10" t="s">
        <v>161</v>
      </c>
      <c r="B87" s="11" t="s">
        <v>162</v>
      </c>
      <c r="C87" s="12" t="s">
        <v>163</v>
      </c>
      <c r="D87" s="13" t="s">
        <v>13</v>
      </c>
      <c r="E87" s="24">
        <v>80</v>
      </c>
      <c r="F87" s="15" t="s">
        <v>47</v>
      </c>
      <c r="G87" s="21">
        <v>0.3</v>
      </c>
      <c r="H87" s="17">
        <f t="shared" si="4"/>
        <v>24</v>
      </c>
      <c r="I87" s="21">
        <v>0.1</v>
      </c>
      <c r="J87" s="21">
        <f t="shared" si="5"/>
        <v>8</v>
      </c>
    </row>
    <row r="88" ht="46.5" customHeight="1" spans="1:10" x14ac:dyDescent="0.25">
      <c r="A88" s="10" t="s">
        <v>164</v>
      </c>
      <c r="B88" s="25" t="s">
        <v>165</v>
      </c>
      <c r="C88" s="12" t="s">
        <v>166</v>
      </c>
      <c r="D88" s="13" t="s">
        <v>13</v>
      </c>
      <c r="E88" s="19">
        <v>40</v>
      </c>
      <c r="F88" s="15" t="s">
        <v>47</v>
      </c>
      <c r="G88" s="15">
        <v>0.98</v>
      </c>
      <c r="H88" s="20">
        <f t="shared" si="4"/>
        <v>39.2</v>
      </c>
      <c r="I88" s="21">
        <v>1</v>
      </c>
      <c r="J88" s="21">
        <f t="shared" si="5"/>
        <v>40</v>
      </c>
    </row>
    <row r="89" ht="31" customHeight="1" spans="1:10" x14ac:dyDescent="0.25">
      <c r="A89" s="10" t="s">
        <v>167</v>
      </c>
      <c r="B89" s="11" t="s">
        <v>168</v>
      </c>
      <c r="C89" s="12" t="s">
        <v>169</v>
      </c>
      <c r="D89" s="13" t="s">
        <v>13</v>
      </c>
      <c r="E89" s="14">
        <v>32</v>
      </c>
      <c r="F89" s="15" t="s">
        <v>14</v>
      </c>
      <c r="G89" s="16">
        <v>0.6</v>
      </c>
      <c r="H89" s="17">
        <f t="shared" si="4"/>
        <v>19.2</v>
      </c>
      <c r="I89" s="18">
        <v>0.5</v>
      </c>
      <c r="J89" s="18">
        <f t="shared" si="5"/>
        <v>16</v>
      </c>
    </row>
    <row r="90" ht="31" customHeight="1" spans="1:10" x14ac:dyDescent="0.25">
      <c r="A90" s="10" t="s">
        <v>170</v>
      </c>
      <c r="B90" s="11" t="s">
        <v>171</v>
      </c>
      <c r="C90" s="12" t="s">
        <v>172</v>
      </c>
      <c r="D90" s="13" t="s">
        <v>13</v>
      </c>
      <c r="E90" s="14">
        <v>85</v>
      </c>
      <c r="F90" s="15" t="s">
        <v>14</v>
      </c>
      <c r="G90" s="16">
        <v>0.5</v>
      </c>
      <c r="H90" s="17">
        <f t="shared" si="4"/>
        <v>42.5</v>
      </c>
      <c r="I90" s="18">
        <v>0.85</v>
      </c>
      <c r="J90" s="18">
        <f t="shared" si="5"/>
        <v>72.25</v>
      </c>
    </row>
    <row r="91" ht="46.5" customHeight="1" spans="1:10" x14ac:dyDescent="0.25">
      <c r="A91" s="10" t="s">
        <v>170</v>
      </c>
      <c r="B91" s="11" t="s">
        <v>173</v>
      </c>
      <c r="C91" s="12" t="s">
        <v>172</v>
      </c>
      <c r="D91" s="13" t="s">
        <v>13</v>
      </c>
      <c r="E91" s="14">
        <v>37</v>
      </c>
      <c r="F91" s="15" t="s">
        <v>14</v>
      </c>
      <c r="G91" s="16">
        <v>0.6</v>
      </c>
      <c r="H91" s="17">
        <f t="shared" si="4"/>
        <v>22.2</v>
      </c>
      <c r="I91" s="18">
        <v>1</v>
      </c>
      <c r="J91" s="18">
        <f t="shared" si="5"/>
        <v>37</v>
      </c>
    </row>
    <row r="92" ht="50.5" customHeight="1" spans="1:10" x14ac:dyDescent="0.25">
      <c r="A92" s="10" t="s">
        <v>170</v>
      </c>
      <c r="B92" s="11" t="s">
        <v>174</v>
      </c>
      <c r="C92" s="12" t="s">
        <v>172</v>
      </c>
      <c r="D92" s="13" t="s">
        <v>13</v>
      </c>
      <c r="E92" s="19">
        <v>67</v>
      </c>
      <c r="F92" s="15" t="s">
        <v>14</v>
      </c>
      <c r="G92" s="16">
        <v>0.7</v>
      </c>
      <c r="H92" s="20">
        <f t="shared" si="4"/>
        <v>46.9</v>
      </c>
      <c r="I92" s="21">
        <v>0.5</v>
      </c>
      <c r="J92" s="21">
        <f t="shared" si="5"/>
        <v>33.5</v>
      </c>
    </row>
    <row r="93" ht="50.5" customHeight="1" spans="1:10" x14ac:dyDescent="0.25">
      <c r="A93" s="10" t="s">
        <v>175</v>
      </c>
      <c r="B93" s="11" t="s">
        <v>176</v>
      </c>
      <c r="C93" s="12" t="s">
        <v>177</v>
      </c>
      <c r="D93" s="13" t="s">
        <v>13</v>
      </c>
      <c r="E93" s="24">
        <v>1</v>
      </c>
      <c r="F93" s="15" t="s">
        <v>47</v>
      </c>
      <c r="G93" s="21">
        <v>18</v>
      </c>
      <c r="H93" s="20">
        <f t="shared" si="4"/>
        <v>18</v>
      </c>
      <c r="I93" s="21">
        <v>36</v>
      </c>
      <c r="J93" s="21">
        <f t="shared" si="5"/>
        <v>36</v>
      </c>
    </row>
    <row r="94" ht="50.5" customHeight="1" spans="1:10" x14ac:dyDescent="0.25">
      <c r="A94" s="10" t="s">
        <v>178</v>
      </c>
      <c r="B94" s="11" t="s">
        <v>179</v>
      </c>
      <c r="C94" s="12" t="s">
        <v>180</v>
      </c>
      <c r="D94" s="13" t="s">
        <v>13</v>
      </c>
      <c r="E94" s="14">
        <v>80</v>
      </c>
      <c r="F94" s="15" t="s">
        <v>43</v>
      </c>
      <c r="G94" s="16">
        <v>0.8</v>
      </c>
      <c r="H94" s="17">
        <f t="shared" si="4"/>
        <v>64</v>
      </c>
      <c r="I94" s="18">
        <v>0.2</v>
      </c>
      <c r="J94" s="18">
        <f t="shared" si="5"/>
        <v>16</v>
      </c>
    </row>
    <row r="95" ht="50.5" customHeight="1" spans="1:10" x14ac:dyDescent="0.25">
      <c r="A95" s="10" t="s">
        <v>181</v>
      </c>
      <c r="B95" s="11" t="s">
        <v>182</v>
      </c>
      <c r="C95" s="12" t="s">
        <v>56</v>
      </c>
      <c r="D95" s="13" t="s">
        <v>13</v>
      </c>
      <c r="E95" s="14">
        <v>44</v>
      </c>
      <c r="F95" s="15" t="s">
        <v>14</v>
      </c>
      <c r="G95" s="16">
        <v>0.5</v>
      </c>
      <c r="H95" s="17">
        <f t="shared" si="4"/>
        <v>22</v>
      </c>
      <c r="I95" s="18">
        <v>1</v>
      </c>
      <c r="J95" s="18">
        <f t="shared" si="5"/>
        <v>44</v>
      </c>
    </row>
    <row r="96" ht="50.5" customHeight="1" spans="1:10" x14ac:dyDescent="0.25">
      <c r="A96" s="10" t="s">
        <v>183</v>
      </c>
      <c r="B96" s="11" t="s">
        <v>184</v>
      </c>
      <c r="C96" s="12" t="s">
        <v>151</v>
      </c>
      <c r="D96" s="13" t="s">
        <v>13</v>
      </c>
      <c r="E96" s="24">
        <v>60</v>
      </c>
      <c r="F96" s="15" t="s">
        <v>47</v>
      </c>
      <c r="G96" s="21">
        <v>0.01</v>
      </c>
      <c r="H96" s="17">
        <f t="shared" si="4"/>
        <v>0.6</v>
      </c>
      <c r="I96" s="21">
        <v>0.01</v>
      </c>
      <c r="J96" s="21">
        <f t="shared" si="5"/>
        <v>0.6</v>
      </c>
    </row>
    <row r="97" ht="50.5" customHeight="1" spans="1:10" x14ac:dyDescent="0.25">
      <c r="A97" s="10" t="s">
        <v>185</v>
      </c>
      <c r="B97" s="11" t="s">
        <v>186</v>
      </c>
      <c r="C97" s="12" t="s">
        <v>187</v>
      </c>
      <c r="D97" s="13" t="s">
        <v>13</v>
      </c>
      <c r="E97" s="14">
        <v>25</v>
      </c>
      <c r="F97" s="15" t="s">
        <v>188</v>
      </c>
      <c r="G97" s="16">
        <v>4.2</v>
      </c>
      <c r="H97" s="17">
        <f t="shared" si="4"/>
        <v>105</v>
      </c>
      <c r="I97" s="18">
        <v>1</v>
      </c>
      <c r="J97" s="18">
        <f t="shared" si="5"/>
        <v>25</v>
      </c>
    </row>
    <row r="98" ht="50.5" customHeight="1" spans="1:10" x14ac:dyDescent="0.25">
      <c r="A98" s="10" t="s">
        <v>189</v>
      </c>
      <c r="B98" s="11" t="s">
        <v>190</v>
      </c>
      <c r="C98" s="12" t="s">
        <v>191</v>
      </c>
      <c r="D98" s="13" t="s">
        <v>13</v>
      </c>
      <c r="E98" s="14">
        <v>67</v>
      </c>
      <c r="F98" s="15" t="s">
        <v>14</v>
      </c>
      <c r="G98" s="16">
        <v>0.6</v>
      </c>
      <c r="H98" s="17">
        <f t="shared" ref="H98:H129" si="6">E98*G98</f>
        <v>40.199999999999996</v>
      </c>
      <c r="I98" s="18">
        <v>0.5</v>
      </c>
      <c r="J98" s="18">
        <f t="shared" ref="J98:J129" si="7">I98*E98</f>
        <v>33.5</v>
      </c>
    </row>
    <row r="99" ht="50.5" customHeight="1" spans="1:10" x14ac:dyDescent="0.25">
      <c r="A99" s="10" t="s">
        <v>189</v>
      </c>
      <c r="B99" s="11" t="s">
        <v>192</v>
      </c>
      <c r="C99" s="12" t="s">
        <v>191</v>
      </c>
      <c r="D99" s="13" t="s">
        <v>13</v>
      </c>
      <c r="E99" s="14">
        <v>76</v>
      </c>
      <c r="F99" s="15" t="s">
        <v>14</v>
      </c>
      <c r="G99" s="16">
        <v>0.5</v>
      </c>
      <c r="H99" s="17">
        <f t="shared" si="6"/>
        <v>38</v>
      </c>
      <c r="I99" s="18">
        <v>0.5</v>
      </c>
      <c r="J99" s="18">
        <f t="shared" si="7"/>
        <v>38</v>
      </c>
    </row>
    <row r="100" ht="50.5" customHeight="1" spans="1:10" x14ac:dyDescent="0.25">
      <c r="A100" s="10" t="s">
        <v>193</v>
      </c>
      <c r="B100" s="11" t="s">
        <v>194</v>
      </c>
      <c r="C100" s="12" t="s">
        <v>195</v>
      </c>
      <c r="D100" s="13" t="s">
        <v>13</v>
      </c>
      <c r="E100" s="14">
        <v>63</v>
      </c>
      <c r="F100" s="15" t="s">
        <v>14</v>
      </c>
      <c r="G100" s="16">
        <v>0.4</v>
      </c>
      <c r="H100" s="17">
        <f t="shared" si="6"/>
        <v>25.200000000000003</v>
      </c>
      <c r="I100" s="18">
        <v>0.08</v>
      </c>
      <c r="J100" s="18">
        <f t="shared" si="7"/>
        <v>5.04</v>
      </c>
    </row>
    <row r="101" ht="50.5" customHeight="1" spans="1:10" x14ac:dyDescent="0.25">
      <c r="A101" s="10" t="s">
        <v>196</v>
      </c>
      <c r="B101" s="11" t="s">
        <v>197</v>
      </c>
      <c r="C101" s="12" t="s">
        <v>198</v>
      </c>
      <c r="D101" s="13" t="s">
        <v>13</v>
      </c>
      <c r="E101" s="14">
        <v>56</v>
      </c>
      <c r="F101" s="15" t="s">
        <v>14</v>
      </c>
      <c r="G101" s="16">
        <v>0.62</v>
      </c>
      <c r="H101" s="17">
        <f t="shared" si="6"/>
        <v>34.72</v>
      </c>
      <c r="I101" s="18">
        <v>0.5</v>
      </c>
      <c r="J101" s="18">
        <f t="shared" si="7"/>
        <v>28</v>
      </c>
    </row>
    <row r="102" ht="50.5" customHeight="1" spans="1:10" x14ac:dyDescent="0.25">
      <c r="A102" s="10" t="s">
        <v>199</v>
      </c>
      <c r="B102" s="11" t="s">
        <v>200</v>
      </c>
      <c r="C102" s="12" t="s">
        <v>201</v>
      </c>
      <c r="D102" s="13" t="s">
        <v>13</v>
      </c>
      <c r="E102" s="19">
        <v>60</v>
      </c>
      <c r="F102" s="15" t="s">
        <v>100</v>
      </c>
      <c r="G102" s="15">
        <v>0.36</v>
      </c>
      <c r="H102" s="20">
        <f t="shared" si="6"/>
        <v>21.599999999999998</v>
      </c>
      <c r="I102" s="21">
        <v>0.4</v>
      </c>
      <c r="J102" s="18">
        <f t="shared" si="7"/>
        <v>24</v>
      </c>
    </row>
    <row r="103" ht="50.5" customHeight="1" spans="1:10" x14ac:dyDescent="0.25">
      <c r="A103" s="10" t="s">
        <v>202</v>
      </c>
      <c r="B103" s="11" t="s">
        <v>203</v>
      </c>
      <c r="C103" s="12" t="s">
        <v>204</v>
      </c>
      <c r="D103" s="13" t="s">
        <v>13</v>
      </c>
      <c r="E103" s="14">
        <v>100</v>
      </c>
      <c r="F103" s="15" t="s">
        <v>47</v>
      </c>
      <c r="G103" s="16">
        <v>0.1</v>
      </c>
      <c r="H103" s="17">
        <f t="shared" si="6"/>
        <v>10</v>
      </c>
      <c r="I103" s="18">
        <v>0.5</v>
      </c>
      <c r="J103" s="18">
        <f t="shared" si="7"/>
        <v>50</v>
      </c>
    </row>
    <row r="104" ht="50.5" customHeight="1" spans="1:10" x14ac:dyDescent="0.25">
      <c r="A104" s="10" t="s">
        <v>205</v>
      </c>
      <c r="B104" s="11" t="s">
        <v>206</v>
      </c>
      <c r="C104" s="12">
        <v>39262090</v>
      </c>
      <c r="D104" s="13" t="s">
        <v>13</v>
      </c>
      <c r="E104" s="19">
        <v>100</v>
      </c>
      <c r="F104" s="15" t="s">
        <v>43</v>
      </c>
      <c r="G104" s="15">
        <v>0.85</v>
      </c>
      <c r="H104" s="20">
        <f t="shared" si="6"/>
        <v>85</v>
      </c>
      <c r="I104" s="21">
        <v>0.5</v>
      </c>
      <c r="J104" s="18">
        <f t="shared" si="7"/>
        <v>50</v>
      </c>
    </row>
    <row r="105" ht="50.5" customHeight="1" spans="1:10" x14ac:dyDescent="0.25">
      <c r="A105" s="10" t="s">
        <v>207</v>
      </c>
      <c r="B105" s="11" t="s">
        <v>208</v>
      </c>
      <c r="C105" s="12" t="s">
        <v>209</v>
      </c>
      <c r="D105" s="13" t="s">
        <v>13</v>
      </c>
      <c r="E105" s="14">
        <v>78</v>
      </c>
      <c r="F105" s="15" t="s">
        <v>47</v>
      </c>
      <c r="G105" s="16">
        <v>0.8</v>
      </c>
      <c r="H105" s="17">
        <f t="shared" si="6"/>
        <v>62.400000000000006</v>
      </c>
      <c r="I105" s="18">
        <v>0.2</v>
      </c>
      <c r="J105" s="18">
        <f t="shared" si="7"/>
        <v>15.600000000000001</v>
      </c>
    </row>
    <row r="106" ht="50.5" customHeight="1" spans="1:10" x14ac:dyDescent="0.25">
      <c r="A106" s="10" t="s">
        <v>207</v>
      </c>
      <c r="B106" s="11" t="s">
        <v>210</v>
      </c>
      <c r="C106" s="12" t="s">
        <v>209</v>
      </c>
      <c r="D106" s="13" t="s">
        <v>13</v>
      </c>
      <c r="E106" s="14">
        <v>78</v>
      </c>
      <c r="F106" s="15" t="s">
        <v>47</v>
      </c>
      <c r="G106" s="16">
        <v>0.8</v>
      </c>
      <c r="H106" s="17">
        <f t="shared" si="6"/>
        <v>62.400000000000006</v>
      </c>
      <c r="I106" s="18">
        <v>0.2</v>
      </c>
      <c r="J106" s="18">
        <f t="shared" si="7"/>
        <v>15.600000000000001</v>
      </c>
    </row>
    <row r="107" ht="50.5" customHeight="1" spans="1:10" x14ac:dyDescent="0.25">
      <c r="A107" s="10" t="s">
        <v>211</v>
      </c>
      <c r="B107" s="11" t="s">
        <v>212</v>
      </c>
      <c r="C107" s="12" t="s">
        <v>213</v>
      </c>
      <c r="D107" s="13" t="s">
        <v>13</v>
      </c>
      <c r="E107" s="14">
        <v>50</v>
      </c>
      <c r="F107" s="15" t="s">
        <v>47</v>
      </c>
      <c r="G107" s="16">
        <v>2</v>
      </c>
      <c r="H107" s="17">
        <f t="shared" si="6"/>
        <v>100</v>
      </c>
      <c r="I107" s="18">
        <v>0.8</v>
      </c>
      <c r="J107" s="18">
        <f t="shared" si="7"/>
        <v>40</v>
      </c>
    </row>
    <row r="108" ht="50.5" customHeight="1" spans="1:10" x14ac:dyDescent="0.25">
      <c r="A108" s="10" t="s">
        <v>214</v>
      </c>
      <c r="B108" s="11" t="s">
        <v>215</v>
      </c>
      <c r="C108" s="12" t="s">
        <v>216</v>
      </c>
      <c r="D108" s="13" t="s">
        <v>13</v>
      </c>
      <c r="E108" s="14">
        <v>61</v>
      </c>
      <c r="F108" s="15" t="s">
        <v>217</v>
      </c>
      <c r="G108" s="16">
        <v>0.43</v>
      </c>
      <c r="H108" s="17">
        <f t="shared" si="6"/>
        <v>26.23</v>
      </c>
      <c r="I108" s="18">
        <v>0.2</v>
      </c>
      <c r="J108" s="18">
        <f t="shared" si="7"/>
        <v>12.200000000000001</v>
      </c>
    </row>
    <row r="109" ht="31" customHeight="1" spans="1:10" x14ac:dyDescent="0.25">
      <c r="A109" s="10" t="s">
        <v>214</v>
      </c>
      <c r="B109" s="11" t="s">
        <v>218</v>
      </c>
      <c r="C109" s="12" t="s">
        <v>216</v>
      </c>
      <c r="D109" s="13" t="s">
        <v>13</v>
      </c>
      <c r="E109" s="19">
        <v>65</v>
      </c>
      <c r="F109" s="15" t="s">
        <v>217</v>
      </c>
      <c r="G109" s="16">
        <v>0.36</v>
      </c>
      <c r="H109" s="20">
        <f t="shared" si="6"/>
        <v>23.4</v>
      </c>
      <c r="I109" s="21">
        <v>0.4</v>
      </c>
      <c r="J109" s="21">
        <f t="shared" si="7"/>
        <v>26</v>
      </c>
    </row>
    <row r="110" ht="31" customHeight="1" spans="1:10" x14ac:dyDescent="0.25">
      <c r="A110" s="10" t="s">
        <v>219</v>
      </c>
      <c r="B110" s="11" t="s">
        <v>220</v>
      </c>
      <c r="C110" s="12" t="s">
        <v>221</v>
      </c>
      <c r="D110" s="13" t="s">
        <v>13</v>
      </c>
      <c r="E110" s="14">
        <v>64</v>
      </c>
      <c r="F110" s="15" t="s">
        <v>217</v>
      </c>
      <c r="G110" s="16">
        <v>0.8</v>
      </c>
      <c r="H110" s="17">
        <f t="shared" si="6"/>
        <v>51.2</v>
      </c>
      <c r="I110" s="18">
        <v>0.5</v>
      </c>
      <c r="J110" s="18">
        <f t="shared" si="7"/>
        <v>32</v>
      </c>
    </row>
    <row r="111" ht="31" customHeight="1" spans="1:10" x14ac:dyDescent="0.25">
      <c r="A111" s="10" t="s">
        <v>219</v>
      </c>
      <c r="B111" s="11" t="s">
        <v>222</v>
      </c>
      <c r="C111" s="12" t="s">
        <v>221</v>
      </c>
      <c r="D111" s="13" t="s">
        <v>13</v>
      </c>
      <c r="E111" s="14">
        <v>38</v>
      </c>
      <c r="F111" s="15" t="s">
        <v>217</v>
      </c>
      <c r="G111" s="16">
        <v>0.8</v>
      </c>
      <c r="H111" s="17">
        <f t="shared" si="6"/>
        <v>30.400000000000002</v>
      </c>
      <c r="I111" s="18">
        <v>0.5</v>
      </c>
      <c r="J111" s="18">
        <f t="shared" si="7"/>
        <v>19</v>
      </c>
    </row>
    <row r="112" ht="31" customHeight="1" spans="1:10" x14ac:dyDescent="0.25">
      <c r="A112" s="10" t="s">
        <v>219</v>
      </c>
      <c r="B112" s="11" t="s">
        <v>223</v>
      </c>
      <c r="C112" s="12" t="s">
        <v>221</v>
      </c>
      <c r="D112" s="13" t="s">
        <v>13</v>
      </c>
      <c r="E112" s="14">
        <v>64</v>
      </c>
      <c r="F112" s="15" t="s">
        <v>217</v>
      </c>
      <c r="G112" s="16">
        <v>0.8</v>
      </c>
      <c r="H112" s="17">
        <f t="shared" si="6"/>
        <v>51.2</v>
      </c>
      <c r="I112" s="18">
        <v>0.5</v>
      </c>
      <c r="J112" s="18">
        <f t="shared" si="7"/>
        <v>32</v>
      </c>
    </row>
    <row r="113" ht="31" customHeight="1" spans="1:10" x14ac:dyDescent="0.25">
      <c r="A113" s="10" t="s">
        <v>219</v>
      </c>
      <c r="B113" s="11" t="s">
        <v>224</v>
      </c>
      <c r="C113" s="12" t="s">
        <v>221</v>
      </c>
      <c r="D113" s="13" t="s">
        <v>13</v>
      </c>
      <c r="E113" s="14">
        <v>48</v>
      </c>
      <c r="F113" s="15" t="s">
        <v>217</v>
      </c>
      <c r="G113" s="16">
        <v>0.97</v>
      </c>
      <c r="H113" s="17">
        <f t="shared" si="6"/>
        <v>46.56</v>
      </c>
      <c r="I113" s="18">
        <v>0.85</v>
      </c>
      <c r="J113" s="18">
        <f t="shared" si="7"/>
        <v>40.8</v>
      </c>
    </row>
    <row r="114" ht="31" customHeight="1" spans="1:10" x14ac:dyDescent="0.25">
      <c r="A114" s="10" t="s">
        <v>219</v>
      </c>
      <c r="B114" s="11" t="s">
        <v>225</v>
      </c>
      <c r="C114" s="12" t="s">
        <v>221</v>
      </c>
      <c r="D114" s="13" t="s">
        <v>13</v>
      </c>
      <c r="E114" s="19">
        <v>57</v>
      </c>
      <c r="F114" s="15" t="s">
        <v>217</v>
      </c>
      <c r="G114" s="15">
        <v>0.98</v>
      </c>
      <c r="H114" s="20">
        <f t="shared" si="6"/>
        <v>55.86</v>
      </c>
      <c r="I114" s="21">
        <v>0.85</v>
      </c>
      <c r="J114" s="21">
        <f t="shared" si="7"/>
        <v>48.449999999999996</v>
      </c>
    </row>
    <row r="115" ht="31" customHeight="1" spans="1:10" x14ac:dyDescent="0.25">
      <c r="A115" s="10" t="s">
        <v>226</v>
      </c>
      <c r="B115" s="11" t="s">
        <v>227</v>
      </c>
      <c r="C115" s="12" t="s">
        <v>228</v>
      </c>
      <c r="D115" s="13" t="s">
        <v>13</v>
      </c>
      <c r="E115" s="14">
        <v>89</v>
      </c>
      <c r="F115" s="15" t="s">
        <v>47</v>
      </c>
      <c r="G115" s="16">
        <v>0.1</v>
      </c>
      <c r="H115" s="17">
        <f t="shared" si="6"/>
        <v>8.9</v>
      </c>
      <c r="I115" s="18">
        <v>0.02</v>
      </c>
      <c r="J115" s="18">
        <f t="shared" si="7"/>
        <v>1.78</v>
      </c>
    </row>
    <row r="116" ht="46.5" customHeight="1" spans="1:10" x14ac:dyDescent="0.25">
      <c r="A116" s="10" t="s">
        <v>229</v>
      </c>
      <c r="B116" s="11" t="s">
        <v>230</v>
      </c>
      <c r="C116" s="12" t="s">
        <v>166</v>
      </c>
      <c r="D116" s="13" t="s">
        <v>13</v>
      </c>
      <c r="E116" s="14">
        <v>64</v>
      </c>
      <c r="F116" s="15" t="s">
        <v>47</v>
      </c>
      <c r="G116" s="16">
        <v>1.2</v>
      </c>
      <c r="H116" s="17">
        <f t="shared" si="6"/>
        <v>76.8</v>
      </c>
      <c r="I116" s="18">
        <v>0.8</v>
      </c>
      <c r="J116" s="18">
        <f t="shared" si="7"/>
        <v>51.2</v>
      </c>
    </row>
    <row r="117" ht="31" customHeight="1" spans="1:10" x14ac:dyDescent="0.25">
      <c r="A117" s="10" t="s">
        <v>231</v>
      </c>
      <c r="B117" s="11" t="s">
        <v>232</v>
      </c>
      <c r="C117" s="12" t="s">
        <v>233</v>
      </c>
      <c r="D117" s="13" t="s">
        <v>13</v>
      </c>
      <c r="E117" s="14">
        <v>34</v>
      </c>
      <c r="F117" s="15" t="s">
        <v>217</v>
      </c>
      <c r="G117" s="16">
        <v>0.86</v>
      </c>
      <c r="H117" s="17">
        <f t="shared" si="6"/>
        <v>29.24</v>
      </c>
      <c r="I117" s="18">
        <v>0.5</v>
      </c>
      <c r="J117" s="18">
        <f t="shared" si="7"/>
        <v>17</v>
      </c>
    </row>
    <row r="118" ht="31" customHeight="1" spans="1:10" x14ac:dyDescent="0.25">
      <c r="A118" s="10" t="s">
        <v>234</v>
      </c>
      <c r="B118" s="11" t="s">
        <v>235</v>
      </c>
      <c r="C118" s="12" t="s">
        <v>195</v>
      </c>
      <c r="D118" s="13" t="s">
        <v>13</v>
      </c>
      <c r="E118" s="19">
        <v>25</v>
      </c>
      <c r="F118" s="15" t="s">
        <v>14</v>
      </c>
      <c r="G118" s="16">
        <v>0.6</v>
      </c>
      <c r="H118" s="20">
        <f t="shared" si="6"/>
        <v>15</v>
      </c>
      <c r="I118" s="21">
        <v>0.5</v>
      </c>
      <c r="J118" s="21">
        <f t="shared" si="7"/>
        <v>12.5</v>
      </c>
    </row>
    <row r="119" ht="31" customHeight="1" spans="1:10" x14ac:dyDescent="0.25">
      <c r="A119" s="10" t="s">
        <v>236</v>
      </c>
      <c r="B119" s="11" t="s">
        <v>237</v>
      </c>
      <c r="C119" s="12" t="s">
        <v>166</v>
      </c>
      <c r="D119" s="13" t="s">
        <v>13</v>
      </c>
      <c r="E119" s="14">
        <v>112</v>
      </c>
      <c r="F119" s="15" t="s">
        <v>47</v>
      </c>
      <c r="G119" s="16">
        <v>1.1</v>
      </c>
      <c r="H119" s="17">
        <f t="shared" si="6"/>
        <v>123.20000000000002</v>
      </c>
      <c r="I119" s="18">
        <v>0.5</v>
      </c>
      <c r="J119" s="18">
        <f t="shared" si="7"/>
        <v>56</v>
      </c>
    </row>
    <row r="120" ht="31" customHeight="1" spans="1:10" x14ac:dyDescent="0.25">
      <c r="A120" s="10" t="s">
        <v>238</v>
      </c>
      <c r="B120" s="11" t="s">
        <v>239</v>
      </c>
      <c r="C120" s="12" t="s">
        <v>240</v>
      </c>
      <c r="D120" s="13" t="s">
        <v>13</v>
      </c>
      <c r="E120" s="14">
        <v>28</v>
      </c>
      <c r="F120" s="15" t="s">
        <v>47</v>
      </c>
      <c r="G120" s="16">
        <v>0.1</v>
      </c>
      <c r="H120" s="17">
        <f t="shared" si="6"/>
        <v>2.8000000000000003</v>
      </c>
      <c r="I120" s="18">
        <v>0.3</v>
      </c>
      <c r="J120" s="18">
        <f t="shared" si="7"/>
        <v>8.4</v>
      </c>
    </row>
    <row r="121" ht="46.5" customHeight="1" spans="1:10" x14ac:dyDescent="0.25">
      <c r="A121" s="10" t="s">
        <v>241</v>
      </c>
      <c r="B121" s="11" t="s">
        <v>242</v>
      </c>
      <c r="C121" s="12" t="s">
        <v>243</v>
      </c>
      <c r="D121" s="13" t="s">
        <v>13</v>
      </c>
      <c r="E121" s="14">
        <v>15</v>
      </c>
      <c r="F121" s="15" t="s">
        <v>47</v>
      </c>
      <c r="G121" s="16">
        <v>0.62</v>
      </c>
      <c r="H121" s="17">
        <f t="shared" si="6"/>
        <v>9.3</v>
      </c>
      <c r="I121" s="18">
        <v>0.85</v>
      </c>
      <c r="J121" s="18">
        <f t="shared" si="7"/>
        <v>12.75</v>
      </c>
    </row>
    <row r="122" ht="31" customHeight="1" spans="1:10" x14ac:dyDescent="0.25">
      <c r="A122" s="10" t="s">
        <v>244</v>
      </c>
      <c r="B122" s="11" t="s">
        <v>245</v>
      </c>
      <c r="C122" s="12" t="s">
        <v>246</v>
      </c>
      <c r="D122" s="13" t="s">
        <v>13</v>
      </c>
      <c r="E122" s="14">
        <v>36</v>
      </c>
      <c r="F122" s="15" t="s">
        <v>47</v>
      </c>
      <c r="G122" s="16">
        <v>0.36</v>
      </c>
      <c r="H122" s="17">
        <f t="shared" si="6"/>
        <v>12.959999999999999</v>
      </c>
      <c r="I122" s="18">
        <v>0.3</v>
      </c>
      <c r="J122" s="18">
        <f t="shared" si="7"/>
        <v>10.799999999999999</v>
      </c>
    </row>
    <row r="123" ht="31" customHeight="1" spans="1:10" x14ac:dyDescent="0.25">
      <c r="A123" s="10" t="s">
        <v>244</v>
      </c>
      <c r="B123" s="11" t="s">
        <v>247</v>
      </c>
      <c r="C123" s="12" t="s">
        <v>246</v>
      </c>
      <c r="D123" s="13" t="s">
        <v>13</v>
      </c>
      <c r="E123" s="14">
        <v>40</v>
      </c>
      <c r="F123" s="15" t="s">
        <v>47</v>
      </c>
      <c r="G123" s="16">
        <v>0.4</v>
      </c>
      <c r="H123" s="17">
        <f t="shared" si="6"/>
        <v>16</v>
      </c>
      <c r="I123" s="18">
        <v>0.2</v>
      </c>
      <c r="J123" s="18">
        <f t="shared" si="7"/>
        <v>8</v>
      </c>
    </row>
    <row r="124" ht="31" customHeight="1" spans="1:10" x14ac:dyDescent="0.25">
      <c r="A124" s="10" t="s">
        <v>244</v>
      </c>
      <c r="B124" s="11" t="s">
        <v>248</v>
      </c>
      <c r="C124" s="12" t="s">
        <v>246</v>
      </c>
      <c r="D124" s="13" t="s">
        <v>13</v>
      </c>
      <c r="E124" s="14">
        <v>33</v>
      </c>
      <c r="F124" s="15" t="s">
        <v>47</v>
      </c>
      <c r="G124" s="16">
        <v>0.4</v>
      </c>
      <c r="H124" s="17">
        <f t="shared" si="6"/>
        <v>13.200000000000001</v>
      </c>
      <c r="I124" s="18">
        <v>0.3</v>
      </c>
      <c r="J124" s="18">
        <f t="shared" si="7"/>
        <v>9.9</v>
      </c>
    </row>
    <row r="125" ht="31" customHeight="1" spans="1:10" x14ac:dyDescent="0.25">
      <c r="A125" s="10" t="s">
        <v>249</v>
      </c>
      <c r="B125" s="11" t="s">
        <v>250</v>
      </c>
      <c r="C125" s="12" t="s">
        <v>251</v>
      </c>
      <c r="D125" s="13" t="s">
        <v>13</v>
      </c>
      <c r="E125" s="14">
        <v>64</v>
      </c>
      <c r="F125" s="15" t="s">
        <v>47</v>
      </c>
      <c r="G125" s="16">
        <v>0.4</v>
      </c>
      <c r="H125" s="17">
        <f t="shared" si="6"/>
        <v>25.6</v>
      </c>
      <c r="I125" s="18">
        <v>0.2</v>
      </c>
      <c r="J125" s="18">
        <f t="shared" si="7"/>
        <v>12.8</v>
      </c>
    </row>
    <row r="126" ht="31" customHeight="1" spans="1:10" x14ac:dyDescent="0.25">
      <c r="A126" s="10" t="s">
        <v>249</v>
      </c>
      <c r="B126" s="11" t="s">
        <v>252</v>
      </c>
      <c r="C126" s="12" t="s">
        <v>253</v>
      </c>
      <c r="D126" s="13" t="s">
        <v>13</v>
      </c>
      <c r="E126" s="14">
        <v>75</v>
      </c>
      <c r="F126" s="15" t="s">
        <v>47</v>
      </c>
      <c r="G126" s="16">
        <v>0.8</v>
      </c>
      <c r="H126" s="17">
        <f t="shared" si="6"/>
        <v>60</v>
      </c>
      <c r="I126" s="18">
        <v>0.3</v>
      </c>
      <c r="J126" s="18">
        <f t="shared" si="7"/>
        <v>22.5</v>
      </c>
    </row>
    <row r="127" ht="31" customHeight="1" spans="1:10" x14ac:dyDescent="0.25">
      <c r="A127" s="10" t="s">
        <v>249</v>
      </c>
      <c r="B127" s="11" t="s">
        <v>254</v>
      </c>
      <c r="C127" s="12" t="s">
        <v>255</v>
      </c>
      <c r="D127" s="13" t="s">
        <v>13</v>
      </c>
      <c r="E127" s="14">
        <v>83</v>
      </c>
      <c r="F127" s="15" t="s">
        <v>47</v>
      </c>
      <c r="G127" s="16">
        <v>0.95</v>
      </c>
      <c r="H127" s="17">
        <f t="shared" si="6"/>
        <v>78.85</v>
      </c>
      <c r="I127" s="18">
        <v>0.3</v>
      </c>
      <c r="J127" s="18">
        <f t="shared" si="7"/>
        <v>24.9</v>
      </c>
    </row>
    <row r="128" ht="31" customHeight="1" spans="1:10" x14ac:dyDescent="0.25">
      <c r="A128" s="10" t="s">
        <v>249</v>
      </c>
      <c r="B128" s="11" t="s">
        <v>256</v>
      </c>
      <c r="C128" s="12" t="s">
        <v>257</v>
      </c>
      <c r="D128" s="13" t="s">
        <v>13</v>
      </c>
      <c r="E128" s="14">
        <v>80</v>
      </c>
      <c r="F128" s="15" t="s">
        <v>47</v>
      </c>
      <c r="G128" s="16">
        <v>0.3</v>
      </c>
      <c r="H128" s="17">
        <f t="shared" si="6"/>
        <v>24</v>
      </c>
      <c r="I128" s="18">
        <v>0.3</v>
      </c>
      <c r="J128" s="18">
        <f t="shared" si="7"/>
        <v>24</v>
      </c>
    </row>
    <row r="129" ht="31" customHeight="1" spans="1:10" x14ac:dyDescent="0.25">
      <c r="A129" s="10" t="s">
        <v>249</v>
      </c>
      <c r="B129" s="11" t="s">
        <v>258</v>
      </c>
      <c r="C129" s="12" t="s">
        <v>259</v>
      </c>
      <c r="D129" s="13" t="s">
        <v>13</v>
      </c>
      <c r="E129" s="14">
        <v>5</v>
      </c>
      <c r="F129" s="15" t="s">
        <v>43</v>
      </c>
      <c r="G129" s="16">
        <v>1.25</v>
      </c>
      <c r="H129" s="17">
        <f t="shared" si="6"/>
        <v>6.25</v>
      </c>
      <c r="I129" s="18">
        <v>0.6</v>
      </c>
      <c r="J129" s="18">
        <f t="shared" si="7"/>
        <v>3</v>
      </c>
    </row>
    <row r="130" ht="31" customHeight="1" spans="1:10" x14ac:dyDescent="0.25">
      <c r="A130" s="10" t="s">
        <v>249</v>
      </c>
      <c r="B130" s="11" t="s">
        <v>260</v>
      </c>
      <c r="C130" s="12" t="s">
        <v>259</v>
      </c>
      <c r="D130" s="13" t="s">
        <v>13</v>
      </c>
      <c r="E130" s="19">
        <v>46</v>
      </c>
      <c r="F130" s="15" t="s">
        <v>43</v>
      </c>
      <c r="G130" s="15">
        <v>1.25</v>
      </c>
      <c r="H130" s="20">
        <f t="shared" ref="H130:H161" si="8">E130*G130</f>
        <v>57.5</v>
      </c>
      <c r="I130" s="21">
        <v>0.6</v>
      </c>
      <c r="J130" s="21">
        <f t="shared" ref="J130:J149" si="9">I130*E130</f>
        <v>27.599999999999998</v>
      </c>
    </row>
    <row r="131" ht="31" customHeight="1" spans="1:10" x14ac:dyDescent="0.25">
      <c r="A131" s="10" t="s">
        <v>249</v>
      </c>
      <c r="B131" s="11" t="s">
        <v>261</v>
      </c>
      <c r="C131" s="12" t="s">
        <v>262</v>
      </c>
      <c r="D131" s="13" t="s">
        <v>13</v>
      </c>
      <c r="E131" s="14">
        <v>34</v>
      </c>
      <c r="F131" s="15" t="s">
        <v>43</v>
      </c>
      <c r="G131" s="16">
        <v>1.25</v>
      </c>
      <c r="H131" s="17">
        <f t="shared" si="8"/>
        <v>42.5</v>
      </c>
      <c r="I131" s="18">
        <v>0.6</v>
      </c>
      <c r="J131" s="18">
        <f t="shared" si="9"/>
        <v>20.4</v>
      </c>
    </row>
    <row r="132" ht="31" customHeight="1" spans="1:10" x14ac:dyDescent="0.25">
      <c r="A132" s="10" t="s">
        <v>249</v>
      </c>
      <c r="B132" s="11" t="s">
        <v>263</v>
      </c>
      <c r="C132" s="12" t="s">
        <v>262</v>
      </c>
      <c r="D132" s="13" t="s">
        <v>13</v>
      </c>
      <c r="E132" s="14">
        <v>88</v>
      </c>
      <c r="F132" s="15" t="s">
        <v>43</v>
      </c>
      <c r="G132" s="16">
        <v>1.25</v>
      </c>
      <c r="H132" s="17">
        <f t="shared" si="8"/>
        <v>110</v>
      </c>
      <c r="I132" s="18">
        <v>0.6</v>
      </c>
      <c r="J132" s="18">
        <f t="shared" si="9"/>
        <v>52.8</v>
      </c>
    </row>
    <row r="133" ht="31" customHeight="1" spans="1:10" x14ac:dyDescent="0.25">
      <c r="A133" s="10" t="s">
        <v>249</v>
      </c>
      <c r="B133" s="11" t="s">
        <v>264</v>
      </c>
      <c r="C133" s="12" t="s">
        <v>265</v>
      </c>
      <c r="D133" s="13" t="s">
        <v>13</v>
      </c>
      <c r="E133" s="14">
        <v>64</v>
      </c>
      <c r="F133" s="15" t="s">
        <v>43</v>
      </c>
      <c r="G133" s="16">
        <v>1.3</v>
      </c>
      <c r="H133" s="17">
        <f t="shared" si="8"/>
        <v>83.2</v>
      </c>
      <c r="I133" s="18">
        <v>0.5</v>
      </c>
      <c r="J133" s="18">
        <f t="shared" si="9"/>
        <v>32</v>
      </c>
    </row>
    <row r="134" ht="31" customHeight="1" spans="1:10" x14ac:dyDescent="0.25">
      <c r="A134" s="10" t="s">
        <v>249</v>
      </c>
      <c r="B134" s="11" t="s">
        <v>266</v>
      </c>
      <c r="C134" s="12" t="s">
        <v>267</v>
      </c>
      <c r="D134" s="13" t="s">
        <v>13</v>
      </c>
      <c r="E134" s="14">
        <v>66</v>
      </c>
      <c r="F134" s="15" t="s">
        <v>43</v>
      </c>
      <c r="G134" s="16">
        <v>1</v>
      </c>
      <c r="H134" s="17">
        <f t="shared" si="8"/>
        <v>66</v>
      </c>
      <c r="I134" s="18">
        <v>0.4</v>
      </c>
      <c r="J134" s="18">
        <f t="shared" si="9"/>
        <v>26.400000000000002</v>
      </c>
    </row>
    <row r="135" ht="31" customHeight="1" spans="1:10" x14ac:dyDescent="0.25">
      <c r="A135" s="10" t="s">
        <v>249</v>
      </c>
      <c r="B135" s="11" t="s">
        <v>268</v>
      </c>
      <c r="C135" s="12" t="s">
        <v>267</v>
      </c>
      <c r="D135" s="13" t="s">
        <v>13</v>
      </c>
      <c r="E135" s="14">
        <v>46</v>
      </c>
      <c r="F135" s="15" t="s">
        <v>43</v>
      </c>
      <c r="G135" s="16">
        <v>1</v>
      </c>
      <c r="H135" s="17">
        <f t="shared" si="8"/>
        <v>46</v>
      </c>
      <c r="I135" s="18">
        <v>0.6</v>
      </c>
      <c r="J135" s="18">
        <f t="shared" si="9"/>
        <v>27.599999999999998</v>
      </c>
    </row>
    <row r="136" ht="31" customHeight="1" spans="1:10" x14ac:dyDescent="0.25">
      <c r="A136" s="10" t="s">
        <v>249</v>
      </c>
      <c r="B136" s="11" t="s">
        <v>269</v>
      </c>
      <c r="C136" s="12" t="s">
        <v>270</v>
      </c>
      <c r="D136" s="13" t="s">
        <v>13</v>
      </c>
      <c r="E136" s="14">
        <v>66</v>
      </c>
      <c r="F136" s="15" t="s">
        <v>47</v>
      </c>
      <c r="G136" s="16">
        <v>0.48</v>
      </c>
      <c r="H136" s="17">
        <f t="shared" si="8"/>
        <v>31.68</v>
      </c>
      <c r="I136" s="18">
        <v>0.2</v>
      </c>
      <c r="J136" s="18">
        <f t="shared" si="9"/>
        <v>13.200000000000001</v>
      </c>
    </row>
    <row r="137" ht="31" customHeight="1" spans="1:10" x14ac:dyDescent="0.25">
      <c r="A137" s="10" t="s">
        <v>249</v>
      </c>
      <c r="B137" s="11" t="s">
        <v>271</v>
      </c>
      <c r="C137" s="12" t="s">
        <v>272</v>
      </c>
      <c r="D137" s="13" t="s">
        <v>13</v>
      </c>
      <c r="E137" s="14">
        <v>80</v>
      </c>
      <c r="F137" s="15" t="s">
        <v>47</v>
      </c>
      <c r="G137" s="16">
        <v>0.4</v>
      </c>
      <c r="H137" s="17">
        <f t="shared" si="8"/>
        <v>32</v>
      </c>
      <c r="I137" s="18">
        <v>0.1</v>
      </c>
      <c r="J137" s="18">
        <f t="shared" si="9"/>
        <v>8</v>
      </c>
    </row>
    <row r="138" ht="31" customHeight="1" spans="1:10" x14ac:dyDescent="0.25">
      <c r="A138" s="10" t="s">
        <v>249</v>
      </c>
      <c r="B138" s="11" t="s">
        <v>273</v>
      </c>
      <c r="C138" s="12" t="s">
        <v>274</v>
      </c>
      <c r="D138" s="13" t="s">
        <v>13</v>
      </c>
      <c r="E138" s="14">
        <v>37</v>
      </c>
      <c r="F138" s="15" t="s">
        <v>47</v>
      </c>
      <c r="G138" s="16">
        <v>0.75</v>
      </c>
      <c r="H138" s="17">
        <f t="shared" si="8"/>
        <v>27.75</v>
      </c>
      <c r="I138" s="18">
        <v>0.3</v>
      </c>
      <c r="J138" s="18">
        <f t="shared" si="9"/>
        <v>11.1</v>
      </c>
    </row>
    <row r="139" ht="31" customHeight="1" spans="1:10" x14ac:dyDescent="0.25">
      <c r="A139" s="10" t="s">
        <v>249</v>
      </c>
      <c r="B139" s="11" t="s">
        <v>275</v>
      </c>
      <c r="C139" s="12" t="s">
        <v>276</v>
      </c>
      <c r="D139" s="13" t="s">
        <v>13</v>
      </c>
      <c r="E139" s="14">
        <v>74</v>
      </c>
      <c r="F139" s="15" t="s">
        <v>47</v>
      </c>
      <c r="G139" s="16">
        <v>0.7</v>
      </c>
      <c r="H139" s="17">
        <f t="shared" si="8"/>
        <v>51.8</v>
      </c>
      <c r="I139" s="18">
        <v>0.5</v>
      </c>
      <c r="J139" s="18">
        <f t="shared" si="9"/>
        <v>37</v>
      </c>
    </row>
    <row r="140" ht="31" customHeight="1" spans="1:10" x14ac:dyDescent="0.25">
      <c r="A140" s="10" t="s">
        <v>249</v>
      </c>
      <c r="B140" s="11" t="s">
        <v>277</v>
      </c>
      <c r="C140" s="12" t="s">
        <v>278</v>
      </c>
      <c r="D140" s="13" t="s">
        <v>13</v>
      </c>
      <c r="E140" s="14">
        <v>106</v>
      </c>
      <c r="F140" s="15" t="s">
        <v>47</v>
      </c>
      <c r="G140" s="16">
        <v>1.05</v>
      </c>
      <c r="H140" s="17">
        <f t="shared" si="8"/>
        <v>111.30000000000001</v>
      </c>
      <c r="I140" s="18">
        <v>0.6</v>
      </c>
      <c r="J140" s="18">
        <f t="shared" si="9"/>
        <v>63.599999999999994</v>
      </c>
    </row>
    <row r="141" ht="31" customHeight="1" spans="1:10" x14ac:dyDescent="0.25">
      <c r="A141" s="10" t="s">
        <v>279</v>
      </c>
      <c r="B141" s="11" t="s">
        <v>280</v>
      </c>
      <c r="C141" s="12" t="s">
        <v>12</v>
      </c>
      <c r="D141" s="13" t="s">
        <v>13</v>
      </c>
      <c r="E141" s="14">
        <v>66</v>
      </c>
      <c r="F141" s="15" t="s">
        <v>14</v>
      </c>
      <c r="G141" s="16">
        <v>0.85</v>
      </c>
      <c r="H141" s="17">
        <f t="shared" si="8"/>
        <v>56.1</v>
      </c>
      <c r="I141" s="18">
        <v>0.05</v>
      </c>
      <c r="J141" s="18">
        <f t="shared" si="9"/>
        <v>3.3000000000000003</v>
      </c>
    </row>
    <row r="142" ht="31" customHeight="1" spans="1:10" x14ac:dyDescent="0.25">
      <c r="A142" s="10" t="s">
        <v>279</v>
      </c>
      <c r="B142" s="11" t="s">
        <v>281</v>
      </c>
      <c r="C142" s="12" t="s">
        <v>12</v>
      </c>
      <c r="D142" s="13" t="s">
        <v>13</v>
      </c>
      <c r="E142" s="14">
        <v>84</v>
      </c>
      <c r="F142" s="15" t="s">
        <v>14</v>
      </c>
      <c r="G142" s="16">
        <v>0.85</v>
      </c>
      <c r="H142" s="17">
        <f t="shared" si="8"/>
        <v>71.39999999999999</v>
      </c>
      <c r="I142" s="18">
        <v>0.05</v>
      </c>
      <c r="J142" s="18">
        <f t="shared" si="9"/>
        <v>4.2</v>
      </c>
    </row>
    <row r="143" ht="46.5" customHeight="1" spans="1:10" x14ac:dyDescent="0.25">
      <c r="A143" s="10" t="s">
        <v>282</v>
      </c>
      <c r="B143" s="11" t="s">
        <v>283</v>
      </c>
      <c r="C143" s="12" t="s">
        <v>284</v>
      </c>
      <c r="D143" s="13" t="s">
        <v>13</v>
      </c>
      <c r="E143" s="14">
        <v>3530</v>
      </c>
      <c r="F143" s="15" t="s">
        <v>47</v>
      </c>
      <c r="G143" s="16">
        <v>0.5</v>
      </c>
      <c r="H143" s="17">
        <f t="shared" si="8"/>
        <v>1765</v>
      </c>
      <c r="I143" s="18">
        <v>0.185</v>
      </c>
      <c r="J143" s="18">
        <f t="shared" si="9"/>
        <v>653.05</v>
      </c>
    </row>
    <row r="144" ht="31" customHeight="1" spans="1:10" x14ac:dyDescent="0.25">
      <c r="A144" s="10" t="s">
        <v>285</v>
      </c>
      <c r="B144" s="11" t="s">
        <v>286</v>
      </c>
      <c r="C144" s="12" t="s">
        <v>287</v>
      </c>
      <c r="D144" s="13" t="s">
        <v>13</v>
      </c>
      <c r="E144" s="14">
        <v>75</v>
      </c>
      <c r="F144" s="15" t="s">
        <v>14</v>
      </c>
      <c r="G144" s="16">
        <v>0.92</v>
      </c>
      <c r="H144" s="17">
        <f t="shared" si="8"/>
        <v>69</v>
      </c>
      <c r="I144" s="18">
        <v>0.5</v>
      </c>
      <c r="J144" s="18">
        <f t="shared" si="9"/>
        <v>37.5</v>
      </c>
    </row>
    <row r="145" ht="31" customHeight="1" spans="1:10" x14ac:dyDescent="0.25">
      <c r="A145" s="10" t="s">
        <v>285</v>
      </c>
      <c r="B145" s="11" t="s">
        <v>288</v>
      </c>
      <c r="C145" s="12" t="s">
        <v>287</v>
      </c>
      <c r="D145" s="13" t="s">
        <v>13</v>
      </c>
      <c r="E145" s="14">
        <v>80</v>
      </c>
      <c r="F145" s="15" t="s">
        <v>14</v>
      </c>
      <c r="G145" s="16">
        <v>0.92</v>
      </c>
      <c r="H145" s="17">
        <f t="shared" si="8"/>
        <v>73.60000000000001</v>
      </c>
      <c r="I145" s="18">
        <v>0.5</v>
      </c>
      <c r="J145" s="18">
        <f t="shared" si="9"/>
        <v>40</v>
      </c>
    </row>
    <row r="146" ht="31" customHeight="1" spans="1:10" x14ac:dyDescent="0.25">
      <c r="A146" s="10" t="s">
        <v>285</v>
      </c>
      <c r="B146" s="11" t="s">
        <v>289</v>
      </c>
      <c r="C146" s="12" t="s">
        <v>287</v>
      </c>
      <c r="D146" s="13" t="s">
        <v>13</v>
      </c>
      <c r="E146" s="14">
        <v>28</v>
      </c>
      <c r="F146" s="15" t="s">
        <v>14</v>
      </c>
      <c r="G146" s="16">
        <v>0.55</v>
      </c>
      <c r="H146" s="17">
        <f t="shared" si="8"/>
        <v>15.400000000000002</v>
      </c>
      <c r="I146" s="18">
        <v>0.5</v>
      </c>
      <c r="J146" s="18">
        <f t="shared" si="9"/>
        <v>14</v>
      </c>
    </row>
    <row r="147" ht="46.5" customHeight="1" spans="1:10" x14ac:dyDescent="0.25">
      <c r="A147" s="10" t="s">
        <v>290</v>
      </c>
      <c r="B147" s="11" t="s">
        <v>291</v>
      </c>
      <c r="C147" s="12" t="s">
        <v>292</v>
      </c>
      <c r="D147" s="13" t="s">
        <v>13</v>
      </c>
      <c r="E147" s="19">
        <v>78</v>
      </c>
      <c r="F147" s="15" t="s">
        <v>47</v>
      </c>
      <c r="G147" s="15">
        <v>0.9</v>
      </c>
      <c r="H147" s="20">
        <f t="shared" si="8"/>
        <v>70.2</v>
      </c>
      <c r="I147" s="21">
        <v>1</v>
      </c>
      <c r="J147" s="21">
        <f t="shared" si="9"/>
        <v>78</v>
      </c>
    </row>
    <row r="148" ht="62" customHeight="1" spans="1:10" x14ac:dyDescent="0.25">
      <c r="A148" s="10" t="s">
        <v>293</v>
      </c>
      <c r="B148" s="11" t="s">
        <v>294</v>
      </c>
      <c r="C148" s="12" t="s">
        <v>295</v>
      </c>
      <c r="D148" s="13" t="s">
        <v>13</v>
      </c>
      <c r="E148" s="19">
        <v>8</v>
      </c>
      <c r="F148" s="15" t="s">
        <v>296</v>
      </c>
      <c r="G148" s="15">
        <v>25</v>
      </c>
      <c r="H148" s="20">
        <f t="shared" si="8"/>
        <v>200</v>
      </c>
      <c r="I148" s="21"/>
      <c r="J148" s="18">
        <f t="shared" si="9"/>
        <v>0</v>
      </c>
    </row>
    <row r="149" ht="31" customHeight="1" spans="1:10" x14ac:dyDescent="0.25">
      <c r="A149" s="10" t="s">
        <v>297</v>
      </c>
      <c r="B149" s="11" t="s">
        <v>298</v>
      </c>
      <c r="C149" s="12" t="s">
        <v>299</v>
      </c>
      <c r="D149" s="13" t="s">
        <v>13</v>
      </c>
      <c r="E149" s="14">
        <v>80</v>
      </c>
      <c r="F149" s="15" t="s">
        <v>100</v>
      </c>
      <c r="G149" s="16">
        <v>0.2</v>
      </c>
      <c r="H149" s="17">
        <f t="shared" si="8"/>
        <v>16</v>
      </c>
      <c r="I149" s="18">
        <v>0.1</v>
      </c>
      <c r="J149" s="18">
        <f t="shared" si="9"/>
        <v>8</v>
      </c>
    </row>
    <row r="150" ht="31" customHeight="1" spans="1:10" x14ac:dyDescent="0.25">
      <c r="A150" s="10" t="s">
        <v>300</v>
      </c>
      <c r="B150" s="11" t="s">
        <v>301</v>
      </c>
      <c r="C150" s="12" t="s">
        <v>302</v>
      </c>
      <c r="D150" s="13" t="s">
        <v>13</v>
      </c>
      <c r="E150" s="14">
        <v>300</v>
      </c>
      <c r="F150" s="15" t="s">
        <v>47</v>
      </c>
      <c r="G150" s="16">
        <v>0.18</v>
      </c>
      <c r="H150" s="17">
        <f t="shared" si="8"/>
        <v>54</v>
      </c>
      <c r="I150" s="18">
        <v>0.05</v>
      </c>
      <c r="J150" s="18">
        <f>E150*I150</f>
        <v>15</v>
      </c>
    </row>
    <row r="151" ht="31" customHeight="1" spans="1:10" x14ac:dyDescent="0.25">
      <c r="A151" s="10" t="s">
        <v>303</v>
      </c>
      <c r="B151" s="11" t="s">
        <v>304</v>
      </c>
      <c r="C151" s="12" t="s">
        <v>221</v>
      </c>
      <c r="D151" s="13" t="s">
        <v>13</v>
      </c>
      <c r="E151" s="14">
        <v>21</v>
      </c>
      <c r="F151" s="15" t="s">
        <v>14</v>
      </c>
      <c r="G151" s="16">
        <v>0.67</v>
      </c>
      <c r="H151" s="17">
        <f t="shared" si="8"/>
        <v>14.07</v>
      </c>
      <c r="I151" s="18">
        <v>0.4</v>
      </c>
      <c r="J151" s="18">
        <f t="shared" ref="J151:J181" si="10">I151*E151</f>
        <v>8.4</v>
      </c>
    </row>
    <row r="152" ht="46.5" customHeight="1" spans="1:10" x14ac:dyDescent="0.25">
      <c r="A152" s="10" t="s">
        <v>303</v>
      </c>
      <c r="B152" s="11" t="s">
        <v>305</v>
      </c>
      <c r="C152" s="12" t="s">
        <v>221</v>
      </c>
      <c r="D152" s="13" t="s">
        <v>13</v>
      </c>
      <c r="E152" s="14">
        <v>70</v>
      </c>
      <c r="F152" s="15" t="s">
        <v>14</v>
      </c>
      <c r="G152" s="16">
        <v>0.97</v>
      </c>
      <c r="H152" s="17">
        <f t="shared" si="8"/>
        <v>67.89999999999999</v>
      </c>
      <c r="I152" s="18">
        <v>0.85</v>
      </c>
      <c r="J152" s="18">
        <f t="shared" si="10"/>
        <v>59.5</v>
      </c>
    </row>
    <row r="153" ht="31" customHeight="1" spans="1:10" x14ac:dyDescent="0.25">
      <c r="A153" s="10" t="s">
        <v>303</v>
      </c>
      <c r="B153" s="11" t="s">
        <v>306</v>
      </c>
      <c r="C153" s="12" t="s">
        <v>221</v>
      </c>
      <c r="D153" s="13" t="s">
        <v>13</v>
      </c>
      <c r="E153" s="14">
        <v>40</v>
      </c>
      <c r="F153" s="15" t="s">
        <v>14</v>
      </c>
      <c r="G153" s="16">
        <v>0.67</v>
      </c>
      <c r="H153" s="17">
        <f t="shared" si="8"/>
        <v>26.8</v>
      </c>
      <c r="I153" s="18">
        <v>0.4</v>
      </c>
      <c r="J153" s="18">
        <f t="shared" si="10"/>
        <v>16</v>
      </c>
    </row>
    <row r="154" ht="31" customHeight="1" spans="1:10" x14ac:dyDescent="0.25">
      <c r="A154" s="10" t="s">
        <v>307</v>
      </c>
      <c r="B154" s="11" t="s">
        <v>308</v>
      </c>
      <c r="C154" s="12" t="s">
        <v>166</v>
      </c>
      <c r="D154" s="13" t="s">
        <v>13</v>
      </c>
      <c r="E154" s="24">
        <v>80</v>
      </c>
      <c r="F154" s="15" t="s">
        <v>47</v>
      </c>
      <c r="G154" s="21">
        <v>0.25</v>
      </c>
      <c r="H154" s="17">
        <f t="shared" si="8"/>
        <v>20</v>
      </c>
      <c r="I154" s="21">
        <v>0.1</v>
      </c>
      <c r="J154" s="21">
        <f t="shared" si="10"/>
        <v>8</v>
      </c>
    </row>
    <row r="155" ht="46.5" customHeight="1" spans="1:10" x14ac:dyDescent="0.25">
      <c r="A155" s="10" t="s">
        <v>309</v>
      </c>
      <c r="B155" s="11" t="s">
        <v>310</v>
      </c>
      <c r="C155" s="12">
        <v>48172000</v>
      </c>
      <c r="D155" s="13" t="s">
        <v>13</v>
      </c>
      <c r="E155" s="19">
        <v>20</v>
      </c>
      <c r="F155" s="15" t="s">
        <v>14</v>
      </c>
      <c r="G155" s="15">
        <v>0.36</v>
      </c>
      <c r="H155" s="20">
        <f t="shared" si="8"/>
        <v>7.199999999999999</v>
      </c>
      <c r="I155" s="21">
        <v>0.2</v>
      </c>
      <c r="J155" s="18">
        <f t="shared" si="10"/>
        <v>4</v>
      </c>
    </row>
    <row r="156" ht="31" customHeight="1" spans="1:10" x14ac:dyDescent="0.25">
      <c r="A156" s="10" t="s">
        <v>311</v>
      </c>
      <c r="B156" s="26" t="s">
        <v>312</v>
      </c>
      <c r="C156" s="15">
        <v>95030060</v>
      </c>
      <c r="D156" s="13" t="s">
        <v>13</v>
      </c>
      <c r="E156" s="19">
        <v>136</v>
      </c>
      <c r="F156" s="15" t="s">
        <v>146</v>
      </c>
      <c r="G156" s="15">
        <v>0.45</v>
      </c>
      <c r="H156" s="20">
        <f t="shared" si="8"/>
        <v>61.2</v>
      </c>
      <c r="I156" s="21">
        <v>0.5</v>
      </c>
      <c r="J156" s="21">
        <f t="shared" si="10"/>
        <v>68</v>
      </c>
    </row>
    <row r="157" ht="31" customHeight="1" spans="1:10" x14ac:dyDescent="0.25">
      <c r="A157" s="10" t="s">
        <v>313</v>
      </c>
      <c r="B157" s="11" t="s">
        <v>314</v>
      </c>
      <c r="C157" s="12" t="s">
        <v>315</v>
      </c>
      <c r="D157" s="13" t="s">
        <v>13</v>
      </c>
      <c r="E157" s="14">
        <v>59</v>
      </c>
      <c r="F157" s="15" t="s">
        <v>14</v>
      </c>
      <c r="G157" s="16">
        <v>1</v>
      </c>
      <c r="H157" s="17">
        <f t="shared" si="8"/>
        <v>59</v>
      </c>
      <c r="I157" s="18">
        <v>0.5</v>
      </c>
      <c r="J157" s="18">
        <f t="shared" si="10"/>
        <v>29.5</v>
      </c>
    </row>
    <row r="158" ht="31" customHeight="1" spans="1:10" x14ac:dyDescent="0.25">
      <c r="A158" s="10" t="s">
        <v>313</v>
      </c>
      <c r="B158" s="11" t="s">
        <v>316</v>
      </c>
      <c r="C158" s="12" t="s">
        <v>315</v>
      </c>
      <c r="D158" s="13" t="s">
        <v>13</v>
      </c>
      <c r="E158" s="14">
        <v>10</v>
      </c>
      <c r="F158" s="15" t="s">
        <v>14</v>
      </c>
      <c r="G158" s="16">
        <v>1</v>
      </c>
      <c r="H158" s="17">
        <f t="shared" si="8"/>
        <v>10</v>
      </c>
      <c r="I158" s="18">
        <v>0.5</v>
      </c>
      <c r="J158" s="18">
        <f t="shared" si="10"/>
        <v>5</v>
      </c>
    </row>
    <row r="159" ht="31" customHeight="1" spans="1:10" x14ac:dyDescent="0.25">
      <c r="A159" s="10" t="s">
        <v>313</v>
      </c>
      <c r="B159" s="11" t="s">
        <v>317</v>
      </c>
      <c r="C159" s="12" t="s">
        <v>315</v>
      </c>
      <c r="D159" s="13" t="s">
        <v>13</v>
      </c>
      <c r="E159" s="14">
        <v>50</v>
      </c>
      <c r="F159" s="15" t="s">
        <v>14</v>
      </c>
      <c r="G159" s="16">
        <v>1</v>
      </c>
      <c r="H159" s="17">
        <f t="shared" si="8"/>
        <v>50</v>
      </c>
      <c r="I159" s="18">
        <v>0.5</v>
      </c>
      <c r="J159" s="18">
        <f t="shared" si="10"/>
        <v>25</v>
      </c>
    </row>
    <row r="160" ht="73.15" customHeight="1" spans="1:10" x14ac:dyDescent="0.25">
      <c r="A160" s="10" t="s">
        <v>313</v>
      </c>
      <c r="B160" s="11" t="s">
        <v>318</v>
      </c>
      <c r="C160" s="12" t="s">
        <v>315</v>
      </c>
      <c r="D160" s="13" t="s">
        <v>13</v>
      </c>
      <c r="E160" s="14">
        <v>77</v>
      </c>
      <c r="F160" s="15" t="s">
        <v>14</v>
      </c>
      <c r="G160" s="16">
        <v>1</v>
      </c>
      <c r="H160" s="17">
        <f t="shared" si="8"/>
        <v>77</v>
      </c>
      <c r="I160" s="18">
        <v>0.5</v>
      </c>
      <c r="J160" s="18">
        <f t="shared" si="10"/>
        <v>38.5</v>
      </c>
    </row>
    <row r="161" ht="40.9" customHeight="1" spans="1:10" x14ac:dyDescent="0.25">
      <c r="A161" s="10" t="s">
        <v>319</v>
      </c>
      <c r="B161" s="11" t="s">
        <v>320</v>
      </c>
      <c r="C161" s="12" t="s">
        <v>321</v>
      </c>
      <c r="D161" s="13" t="s">
        <v>13</v>
      </c>
      <c r="E161" s="14">
        <v>91</v>
      </c>
      <c r="F161" s="15" t="s">
        <v>94</v>
      </c>
      <c r="G161" s="16">
        <v>0.85</v>
      </c>
      <c r="H161" s="17">
        <f t="shared" si="8"/>
        <v>77.35</v>
      </c>
      <c r="I161" s="18">
        <v>0.2</v>
      </c>
      <c r="J161" s="18">
        <f t="shared" si="10"/>
        <v>18.2</v>
      </c>
    </row>
    <row r="162" ht="31" customHeight="1" spans="1:10" x14ac:dyDescent="0.25">
      <c r="A162" s="10" t="s">
        <v>319</v>
      </c>
      <c r="B162" s="11" t="s">
        <v>322</v>
      </c>
      <c r="C162" s="12" t="s">
        <v>321</v>
      </c>
      <c r="D162" s="13" t="s">
        <v>13</v>
      </c>
      <c r="E162" s="14">
        <v>53</v>
      </c>
      <c r="F162" s="15" t="s">
        <v>94</v>
      </c>
      <c r="G162" s="16">
        <v>0.82</v>
      </c>
      <c r="H162" s="17">
        <f t="shared" ref="H162:H181" si="11">E162*G162</f>
        <v>43.46</v>
      </c>
      <c r="I162" s="18">
        <v>0.2</v>
      </c>
      <c r="J162" s="18">
        <f t="shared" si="10"/>
        <v>10.600000000000001</v>
      </c>
    </row>
    <row r="163" ht="31" customHeight="1" spans="1:10" x14ac:dyDescent="0.25">
      <c r="A163" s="10" t="s">
        <v>319</v>
      </c>
      <c r="B163" s="11" t="s">
        <v>323</v>
      </c>
      <c r="C163" s="12" t="s">
        <v>321</v>
      </c>
      <c r="D163" s="13" t="s">
        <v>13</v>
      </c>
      <c r="E163" s="14">
        <v>66</v>
      </c>
      <c r="F163" s="15" t="s">
        <v>14</v>
      </c>
      <c r="G163" s="16">
        <v>0.52</v>
      </c>
      <c r="H163" s="17">
        <f t="shared" si="11"/>
        <v>34.32</v>
      </c>
      <c r="I163" s="18">
        <v>0.5</v>
      </c>
      <c r="J163" s="18">
        <f t="shared" si="10"/>
        <v>33</v>
      </c>
    </row>
    <row r="164" ht="31" customHeight="1" spans="1:10" x14ac:dyDescent="0.25">
      <c r="A164" s="10" t="s">
        <v>319</v>
      </c>
      <c r="B164" s="11" t="s">
        <v>324</v>
      </c>
      <c r="C164" s="12" t="s">
        <v>321</v>
      </c>
      <c r="D164" s="13" t="s">
        <v>13</v>
      </c>
      <c r="E164" s="14">
        <v>45</v>
      </c>
      <c r="F164" s="15" t="s">
        <v>94</v>
      </c>
      <c r="G164" s="16">
        <v>0.52</v>
      </c>
      <c r="H164" s="17">
        <f t="shared" si="11"/>
        <v>23.400000000000002</v>
      </c>
      <c r="I164" s="18">
        <v>0.2</v>
      </c>
      <c r="J164" s="18">
        <f t="shared" si="10"/>
        <v>9</v>
      </c>
    </row>
    <row r="165" ht="31" customHeight="1" spans="1:10" x14ac:dyDescent="0.25">
      <c r="A165" s="10" t="s">
        <v>319</v>
      </c>
      <c r="B165" s="11" t="s">
        <v>325</v>
      </c>
      <c r="C165" s="12" t="s">
        <v>321</v>
      </c>
      <c r="D165" s="13" t="s">
        <v>13</v>
      </c>
      <c r="E165" s="14">
        <v>55</v>
      </c>
      <c r="F165" s="15" t="s">
        <v>14</v>
      </c>
      <c r="G165" s="16">
        <v>0.8</v>
      </c>
      <c r="H165" s="17">
        <f t="shared" si="11"/>
        <v>44</v>
      </c>
      <c r="I165" s="18">
        <v>0.5</v>
      </c>
      <c r="J165" s="18">
        <f t="shared" si="10"/>
        <v>27.5</v>
      </c>
    </row>
    <row r="166" ht="31" customHeight="1" spans="1:10" x14ac:dyDescent="0.25">
      <c r="A166" s="10" t="s">
        <v>319</v>
      </c>
      <c r="B166" s="11" t="s">
        <v>326</v>
      </c>
      <c r="C166" s="12" t="s">
        <v>321</v>
      </c>
      <c r="D166" s="13" t="s">
        <v>13</v>
      </c>
      <c r="E166" s="14">
        <v>60</v>
      </c>
      <c r="F166" s="15" t="s">
        <v>14</v>
      </c>
      <c r="G166" s="16">
        <v>0.75</v>
      </c>
      <c r="H166" s="17">
        <f t="shared" si="11"/>
        <v>45</v>
      </c>
      <c r="I166" s="18">
        <v>0.5</v>
      </c>
      <c r="J166" s="18">
        <f t="shared" si="10"/>
        <v>30</v>
      </c>
    </row>
    <row r="167" ht="31" customHeight="1" spans="1:10" x14ac:dyDescent="0.25">
      <c r="A167" s="10" t="s">
        <v>319</v>
      </c>
      <c r="B167" s="11" t="s">
        <v>327</v>
      </c>
      <c r="C167" s="12" t="s">
        <v>321</v>
      </c>
      <c r="D167" s="13" t="s">
        <v>13</v>
      </c>
      <c r="E167" s="14">
        <v>20</v>
      </c>
      <c r="F167" s="15" t="s">
        <v>94</v>
      </c>
      <c r="G167" s="16">
        <v>0.3</v>
      </c>
      <c r="H167" s="17">
        <f t="shared" si="11"/>
        <v>6</v>
      </c>
      <c r="I167" s="18">
        <v>0.2</v>
      </c>
      <c r="J167" s="18">
        <f t="shared" si="10"/>
        <v>4</v>
      </c>
    </row>
    <row r="168" ht="31" customHeight="1" spans="1:10" x14ac:dyDescent="0.25">
      <c r="A168" s="10" t="s">
        <v>319</v>
      </c>
      <c r="B168" s="11" t="s">
        <v>328</v>
      </c>
      <c r="C168" s="12" t="s">
        <v>321</v>
      </c>
      <c r="D168" s="13" t="s">
        <v>13</v>
      </c>
      <c r="E168" s="14">
        <v>69</v>
      </c>
      <c r="F168" s="15" t="s">
        <v>94</v>
      </c>
      <c r="G168" s="16">
        <v>0.82</v>
      </c>
      <c r="H168" s="17">
        <f t="shared" si="11"/>
        <v>56.58</v>
      </c>
      <c r="I168" s="18">
        <v>0.2</v>
      </c>
      <c r="J168" s="18">
        <f t="shared" si="10"/>
        <v>13.8</v>
      </c>
    </row>
    <row r="169" ht="31" customHeight="1" spans="1:10" x14ac:dyDescent="0.25">
      <c r="A169" s="10" t="s">
        <v>319</v>
      </c>
      <c r="B169" s="11" t="s">
        <v>329</v>
      </c>
      <c r="C169" s="12" t="s">
        <v>321</v>
      </c>
      <c r="D169" s="13" t="s">
        <v>13</v>
      </c>
      <c r="E169" s="14">
        <v>25</v>
      </c>
      <c r="F169" s="15" t="s">
        <v>14</v>
      </c>
      <c r="G169" s="16">
        <v>0.82</v>
      </c>
      <c r="H169" s="17">
        <f t="shared" si="11"/>
        <v>20.5</v>
      </c>
      <c r="I169" s="18">
        <v>0.5</v>
      </c>
      <c r="J169" s="18">
        <f t="shared" si="10"/>
        <v>12.5</v>
      </c>
    </row>
    <row r="170" ht="31" customHeight="1" spans="1:10" x14ac:dyDescent="0.25">
      <c r="A170" s="10" t="s">
        <v>319</v>
      </c>
      <c r="B170" s="11" t="s">
        <v>330</v>
      </c>
      <c r="C170" s="12" t="s">
        <v>321</v>
      </c>
      <c r="D170" s="13" t="s">
        <v>13</v>
      </c>
      <c r="E170" s="14">
        <v>78</v>
      </c>
      <c r="F170" s="15" t="s">
        <v>14</v>
      </c>
      <c r="G170" s="16">
        <v>0.75</v>
      </c>
      <c r="H170" s="17">
        <f t="shared" si="11"/>
        <v>58.5</v>
      </c>
      <c r="I170" s="18">
        <v>0.5</v>
      </c>
      <c r="J170" s="18">
        <f t="shared" si="10"/>
        <v>39</v>
      </c>
    </row>
    <row r="171" ht="31" customHeight="1" spans="1:10" x14ac:dyDescent="0.25">
      <c r="A171" s="10" t="s">
        <v>319</v>
      </c>
      <c r="B171" s="11" t="s">
        <v>331</v>
      </c>
      <c r="C171" s="12" t="s">
        <v>321</v>
      </c>
      <c r="D171" s="13" t="s">
        <v>13</v>
      </c>
      <c r="E171" s="19">
        <v>44</v>
      </c>
      <c r="F171" s="15" t="s">
        <v>14</v>
      </c>
      <c r="G171" s="15">
        <v>0.96</v>
      </c>
      <c r="H171" s="20">
        <f t="shared" si="11"/>
        <v>42.239999999999995</v>
      </c>
      <c r="I171" s="21">
        <v>0.5</v>
      </c>
      <c r="J171" s="21">
        <f t="shared" si="10"/>
        <v>22</v>
      </c>
    </row>
    <row r="172" ht="31" customHeight="1" spans="1:10" x14ac:dyDescent="0.25">
      <c r="A172" s="10" t="s">
        <v>319</v>
      </c>
      <c r="B172" s="11" t="s">
        <v>332</v>
      </c>
      <c r="C172" s="12" t="s">
        <v>321</v>
      </c>
      <c r="D172" s="13" t="s">
        <v>13</v>
      </c>
      <c r="E172" s="14">
        <v>35</v>
      </c>
      <c r="F172" s="15" t="s">
        <v>94</v>
      </c>
      <c r="G172" s="16">
        <v>0.82</v>
      </c>
      <c r="H172" s="17">
        <f t="shared" si="11"/>
        <v>28.7</v>
      </c>
      <c r="I172" s="18">
        <v>0.2</v>
      </c>
      <c r="J172" s="18">
        <f t="shared" si="10"/>
        <v>7</v>
      </c>
    </row>
    <row r="173" ht="31" customHeight="1" spans="1:10" x14ac:dyDescent="0.25">
      <c r="A173" s="10" t="s">
        <v>333</v>
      </c>
      <c r="B173" s="11" t="s">
        <v>334</v>
      </c>
      <c r="C173" s="12" t="s">
        <v>335</v>
      </c>
      <c r="D173" s="13" t="s">
        <v>13</v>
      </c>
      <c r="E173" s="14">
        <v>74</v>
      </c>
      <c r="F173" s="15" t="s">
        <v>14</v>
      </c>
      <c r="G173" s="16">
        <v>0.8</v>
      </c>
      <c r="H173" s="17">
        <f t="shared" si="11"/>
        <v>59.2</v>
      </c>
      <c r="I173" s="18">
        <v>0.5</v>
      </c>
      <c r="J173" s="18">
        <f t="shared" si="10"/>
        <v>37</v>
      </c>
    </row>
    <row r="174" ht="31" customHeight="1" spans="1:10" x14ac:dyDescent="0.25">
      <c r="A174" s="10" t="s">
        <v>333</v>
      </c>
      <c r="B174" s="11" t="s">
        <v>336</v>
      </c>
      <c r="C174" s="12" t="s">
        <v>335</v>
      </c>
      <c r="D174" s="13" t="s">
        <v>13</v>
      </c>
      <c r="E174" s="14">
        <v>49</v>
      </c>
      <c r="F174" s="15" t="s">
        <v>14</v>
      </c>
      <c r="G174" s="16">
        <v>0.64</v>
      </c>
      <c r="H174" s="17">
        <f t="shared" si="11"/>
        <v>31.36</v>
      </c>
      <c r="I174" s="18">
        <v>0.5</v>
      </c>
      <c r="J174" s="18">
        <f t="shared" si="10"/>
        <v>24.5</v>
      </c>
    </row>
    <row r="175" ht="31" customHeight="1" spans="1:10" x14ac:dyDescent="0.25">
      <c r="A175" s="10" t="s">
        <v>333</v>
      </c>
      <c r="B175" s="11" t="s">
        <v>337</v>
      </c>
      <c r="C175" s="12" t="s">
        <v>338</v>
      </c>
      <c r="D175" s="13" t="s">
        <v>13</v>
      </c>
      <c r="E175" s="19">
        <v>59</v>
      </c>
      <c r="F175" s="15" t="s">
        <v>14</v>
      </c>
      <c r="G175" s="15">
        <v>0.64</v>
      </c>
      <c r="H175" s="20">
        <f t="shared" si="11"/>
        <v>37.76</v>
      </c>
      <c r="I175" s="21">
        <v>0.5</v>
      </c>
      <c r="J175" s="21">
        <f t="shared" si="10"/>
        <v>29.5</v>
      </c>
    </row>
    <row r="176" ht="31" customHeight="1" spans="1:10" x14ac:dyDescent="0.25">
      <c r="A176" s="10" t="s">
        <v>339</v>
      </c>
      <c r="B176" s="11" t="s">
        <v>340</v>
      </c>
      <c r="C176" s="12" t="s">
        <v>341</v>
      </c>
      <c r="D176" s="13" t="s">
        <v>13</v>
      </c>
      <c r="E176" s="14">
        <v>283</v>
      </c>
      <c r="F176" s="15" t="s">
        <v>47</v>
      </c>
      <c r="G176" s="16">
        <v>0.62</v>
      </c>
      <c r="H176" s="17">
        <f t="shared" si="11"/>
        <v>175.46</v>
      </c>
      <c r="I176" s="18">
        <v>0.3</v>
      </c>
      <c r="J176" s="18">
        <f t="shared" si="10"/>
        <v>84.89999999999999</v>
      </c>
    </row>
    <row r="177" ht="46.5" customHeight="1" spans="1:10" x14ac:dyDescent="0.25">
      <c r="A177" s="10" t="s">
        <v>342</v>
      </c>
      <c r="B177" s="11" t="s">
        <v>343</v>
      </c>
      <c r="C177" s="12" t="s">
        <v>110</v>
      </c>
      <c r="D177" s="13" t="s">
        <v>13</v>
      </c>
      <c r="E177" s="14">
        <v>15</v>
      </c>
      <c r="F177" s="15" t="s">
        <v>47</v>
      </c>
      <c r="G177" s="16">
        <v>0.7</v>
      </c>
      <c r="H177" s="17">
        <f t="shared" si="11"/>
        <v>10.5</v>
      </c>
      <c r="I177" s="18">
        <v>1</v>
      </c>
      <c r="J177" s="18">
        <f t="shared" si="10"/>
        <v>15</v>
      </c>
    </row>
    <row r="178" ht="46.5" customHeight="1" spans="1:10" x14ac:dyDescent="0.25">
      <c r="A178" s="10" t="s">
        <v>342</v>
      </c>
      <c r="B178" s="11" t="s">
        <v>344</v>
      </c>
      <c r="C178" s="12" t="s">
        <v>345</v>
      </c>
      <c r="D178" s="13" t="s">
        <v>13</v>
      </c>
      <c r="E178" s="14">
        <v>864</v>
      </c>
      <c r="F178" s="15" t="s">
        <v>47</v>
      </c>
      <c r="G178" s="16">
        <v>1</v>
      </c>
      <c r="H178" s="17">
        <f t="shared" si="11"/>
        <v>864</v>
      </c>
      <c r="I178" s="18">
        <v>0.03</v>
      </c>
      <c r="J178" s="18">
        <f t="shared" si="10"/>
        <v>25.919999999999998</v>
      </c>
    </row>
    <row r="179" ht="50.5" customHeight="1" spans="1:10" x14ac:dyDescent="0.25">
      <c r="A179" s="10" t="s">
        <v>346</v>
      </c>
      <c r="B179" s="25" t="s">
        <v>347</v>
      </c>
      <c r="C179" s="27" t="s">
        <v>348</v>
      </c>
      <c r="D179" s="13" t="s">
        <v>13</v>
      </c>
      <c r="E179" s="19">
        <v>120</v>
      </c>
      <c r="F179" s="15" t="s">
        <v>349</v>
      </c>
      <c r="G179" s="15">
        <v>0.2</v>
      </c>
      <c r="H179" s="20">
        <f t="shared" si="11"/>
        <v>24</v>
      </c>
      <c r="I179" s="21">
        <v>0.2</v>
      </c>
      <c r="J179" s="18">
        <f t="shared" si="10"/>
        <v>24</v>
      </c>
    </row>
    <row r="180" ht="46.5" customHeight="1" spans="1:10" x14ac:dyDescent="0.25">
      <c r="A180" s="10" t="s">
        <v>346</v>
      </c>
      <c r="B180" s="11" t="s">
        <v>350</v>
      </c>
      <c r="C180" s="12" t="s">
        <v>351</v>
      </c>
      <c r="D180" s="13" t="s">
        <v>13</v>
      </c>
      <c r="E180" s="14">
        <v>3</v>
      </c>
      <c r="F180" s="15" t="s">
        <v>349</v>
      </c>
      <c r="G180" s="16">
        <v>2</v>
      </c>
      <c r="H180" s="17">
        <f t="shared" si="11"/>
        <v>6</v>
      </c>
      <c r="I180" s="21">
        <v>0.2</v>
      </c>
      <c r="J180" s="18">
        <f t="shared" si="10"/>
        <v>0.6000000000000001</v>
      </c>
    </row>
    <row r="181" ht="31" customHeight="1" spans="1:10" x14ac:dyDescent="0.25">
      <c r="A181" s="10" t="s">
        <v>352</v>
      </c>
      <c r="B181" s="11" t="s">
        <v>353</v>
      </c>
      <c r="C181" s="12" t="s">
        <v>354</v>
      </c>
      <c r="D181" s="13" t="s">
        <v>13</v>
      </c>
      <c r="E181" s="14">
        <v>35</v>
      </c>
      <c r="F181" s="15" t="s">
        <v>47</v>
      </c>
      <c r="G181" s="16">
        <v>0.8</v>
      </c>
      <c r="H181" s="17">
        <f t="shared" si="11"/>
        <v>28</v>
      </c>
      <c r="I181" s="18">
        <v>0.2</v>
      </c>
      <c r="J181" s="18">
        <f t="shared" si="10"/>
        <v>7</v>
      </c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1:8" s="28" customFormat="1" x14ac:dyDescent="0.25">
      <c r="A198" s="29"/>
      <c r="B198" s="29"/>
      <c r="E198" s="3"/>
      <c r="H198" s="4"/>
    </row>
    <row r="199" spans="1:8" s="28" customFormat="1" x14ac:dyDescent="0.25">
      <c r="A199" s="29"/>
      <c r="B199" s="29"/>
      <c r="E199" s="3"/>
      <c r="H199" s="4"/>
    </row>
  </sheetData>
  <autoFilter ref="A1:J1"/>
  <pageMargins left="0.7" right="0.7" top="0.75" bottom="0.75" header="0.3" footer="0.3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DANG NAM NAM</cp:lastModifiedBy>
  <dcterms:created xsi:type="dcterms:W3CDTF">2026-03-25T04:03:00Z</dcterms:created>
  <dcterms:modified xsi:type="dcterms:W3CDTF">2026-05-26T17:36:09Z</dcterms:modified>
</cp:coreProperties>
</file>